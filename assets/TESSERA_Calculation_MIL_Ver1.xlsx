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eb358c248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6b1ad4e9a7674c3d"/>
    <x:sheet xmlns:r="http://schemas.openxmlformats.org/officeDocument/2006/relationships" name="Military Model" sheetId="2" r:id="R496985948fa94483"/>
    <x:sheet xmlns:r="http://schemas.openxmlformats.org/officeDocument/2006/relationships" name="Dashboard" sheetId="3" r:id="Rdcf7a195f4b547e4"/>
    <x:sheet xmlns:r="http://schemas.openxmlformats.org/officeDocument/2006/relationships" name="Sources" sheetId="4" r:id="R1ab348c6ba104704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3">
    <numFmt numFmtId="200" formatCode="#,##0;[Red](#,##0);-"/>
    <numFmt numFmtId="201" formatCode="0.0%"/>
    <numFmt numFmtId="202" formatCode="0.0"/>
  </numFmts>
  <fonts count="11">
    <font>
      <sz val="11"/>
      <name val="Carlito"/>
    </font>
    <font>
      <b/>
      <sz val="16"/>
      <color rgb="FFFFFFFF"/>
      <name val="Carlito"/>
    </font>
    <font>
      <i/>
      <sz val="11"/>
      <color rgb="FF6B7280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color rgb="FF111827"/>
      <name val="Carlito"/>
    </font>
    <font>
      <b/>
      <sz val="12"/>
      <color rgb="FFFFFFFF"/>
      <name val="Carlito"/>
    </font>
    <font>
      <b/>
      <sz val="11"/>
      <name val="Carlito"/>
    </font>
    <font>
      <sz val="11"/>
      <color rgb="FF008000"/>
      <name val="Carlito"/>
    </font>
    <font>
      <b/>
      <sz val="18"/>
      <color rgb="FFFFFFFF"/>
      <name val="Carlito"/>
    </font>
    <font>
      <b/>
      <sz val="11"/>
      <color rgb="FF00800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2A2D2E"/>
      </patternFill>
    </fill>
    <fill>
      <patternFill patternType="solid">
        <fgColor rgb="FFFAF8F1"/>
      </patternFill>
    </fill>
    <fill>
      <patternFill patternType="solid">
        <fgColor rgb="FF4F5D45"/>
      </patternFill>
    </fill>
    <fill>
      <patternFill patternType="solid">
        <fgColor rgb="FFFFF2CC"/>
      </patternFill>
    </fill>
    <fill>
      <patternFill patternType="solid">
        <fgColor rgb="FFE8E0D2"/>
      </patternFill>
    </fill>
    <fill>
      <patternFill patternType="solid">
        <fgColor rgb="FFA86A43"/>
      </patternFill>
    </fill>
    <fill>
      <patternFill patternType="solid">
        <fgColor rgb="FFE8D6BF"/>
      </patternFill>
    </fill>
    <fill>
      <patternFill patternType="solid">
        <fgColor rgb="FFF0E8DA"/>
      </patternFill>
    </fill>
  </fills>
  <borders count="2">
    <border/>
    <border/>
  </borders>
  <cellStyleXfs count="1">
    <xf numFmtId="0" fontId="0" fillId="0" borderId="0"/>
  </cellStyleXfs>
  <cellXfs count="128">
    <xf numFmtId="0" fontId="0" fillId="0" borderId="0" xfId="0"/>
    <xf numFmtId="0" fontId="0" fillId="0" borderId="1" xfId="0" applyNumberFormat="1" applyFont="1" applyFill="1" applyBorder="1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left"/>
    </xf>
    <xf numFmtId="0" fontId="0" fillId="2" borderId="1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horizontal="left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0" fillId="3" borderId="1" xfId="0" applyNumberFormat="1" applyFont="1" applyFill="1" applyBorder="1"/>
    <xf numFmtId="0" fontId="2" fillId="3" borderId="1" xfId="0" applyNumberFormat="1" applyFont="1" applyFill="1" applyBorder="1"/>
    <xf numFmtId="0" fontId="2" fillId="3" borderId="1" xfId="0" applyNumberFormat="1" applyFont="1" applyFill="1" applyBorder="1" applyAlignment="1">
      <alignment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0" xfId="0" applyNumberFormat="1" applyFont="1" applyFill="1" applyBorder="1" applyAlignment="1">
      <alignment horizontal="center"/>
    </xf>
    <xf numFmtId="0" fontId="0" fillId="4" borderId="1" xfId="0" applyNumberFormat="1" applyFont="1" applyFill="1" applyBorder="1"/>
    <xf numFmtId="0" fontId="3" fillId="4" borderId="1" xfId="0" applyNumberFormat="1" applyFont="1" applyFill="1" applyBorder="1"/>
    <xf numFmtId="0" fontId="3" fillId="4" borderId="1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0" fontId="0" fillId="5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wrapText="1"/>
    </xf>
    <xf numFmtId="0" fontId="0" fillId="5" borderId="1" xfId="0" applyNumberFormat="1" applyFont="1" applyFill="1" applyBorder="1" applyAlignment="1">
      <alignment wrapText="1"/>
    </xf>
    <xf numFmtId="0" fontId="4" fillId="5" borderId="1" xfId="0" applyNumberFormat="1" applyFont="1" applyFill="1" applyBorder="1" applyAlignment="1">
      <alignment wrapText="1"/>
    </xf>
    <xf numFmtId="200" fontId="4" fillId="5" borderId="0" xfId="0" applyNumberFormat="1" applyFont="1" applyFill="1" applyBorder="1" applyAlignment="1">
      <alignment wrapText="1"/>
    </xf>
    <xf numFmtId="200" fontId="4" fillId="5" borderId="1" xfId="0" applyNumberFormat="1" applyFont="1" applyFill="1" applyBorder="1" applyAlignment="1">
      <alignment wrapText="1"/>
    </xf>
    <xf numFmtId="201" fontId="4" fillId="5" borderId="0" xfId="0" applyNumberFormat="1" applyFont="1" applyFill="1" applyBorder="1" applyAlignment="1">
      <alignment wrapText="1"/>
    </xf>
    <xf numFmtId="201" fontId="4" fillId="5" borderId="1" xfId="0" applyNumberFormat="1" applyFont="1" applyFill="1" applyBorder="1" applyAlignment="1">
      <alignment wrapText="1"/>
    </xf>
    <xf numFmtId="201" fontId="0" fillId="0" borderId="0" xfId="0" applyNumberFormat="1" applyFont="1" applyFill="1" applyBorder="1"/>
    <xf numFmtId="201" fontId="0" fillId="0" borderId="1" xfId="0" applyNumberFormat="1" applyFont="1" applyFill="1" applyBorder="1"/>
    <xf numFmtId="200" fontId="0" fillId="0" borderId="0" xfId="0" applyNumberFormat="1" applyFont="1" applyFill="1" applyBorder="1"/>
    <xf numFmtId="200" fontId="0" fillId="0" borderId="1" xfId="0" applyNumberFormat="1" applyFont="1" applyFill="1" applyBorder="1"/>
    <xf numFmtId="201" fontId="0" fillId="5" borderId="0" xfId="0" applyNumberFormat="1" applyFont="1" applyFill="1" applyBorder="1"/>
    <xf numFmtId="200" fontId="0" fillId="5" borderId="0" xfId="0" applyNumberFormat="1" applyFont="1" applyFill="1" applyBorder="1"/>
    <xf numFmtId="201" fontId="4" fillId="5" borderId="0" xfId="0" applyNumberFormat="1" applyFont="1" applyFill="1" applyBorder="1"/>
    <xf numFmtId="200" fontId="4" fillId="5" borderId="0" xfId="0" applyNumberFormat="1" applyFont="1" applyFill="1" applyBorder="1"/>
    <xf numFmtId="201" fontId="0" fillId="5" borderId="1" xfId="0" applyNumberFormat="1" applyFont="1" applyFill="1" applyBorder="1"/>
    <xf numFmtId="200" fontId="0" fillId="5" borderId="1" xfId="0" applyNumberFormat="1" applyFont="1" applyFill="1" applyBorder="1"/>
    <xf numFmtId="201" fontId="4" fillId="5" borderId="1" xfId="0" applyNumberFormat="1" applyFont="1" applyFill="1" applyBorder="1"/>
    <xf numFmtId="200" fontId="4" fillId="5" borderId="1" xfId="0" applyNumberFormat="1" applyFont="1" applyFill="1" applyBorder="1"/>
    <xf numFmtId="0" fontId="3" fillId="2" borderId="0" xfId="0" applyNumberFormat="1" applyFont="1" applyFill="1" applyBorder="1"/>
    <xf numFmtId="0" fontId="3" fillId="2" borderId="1" xfId="0" applyNumberFormat="1" applyFont="1" applyFill="1" applyBorder="1"/>
    <xf numFmtId="0" fontId="1" fillId="2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left"/>
    </xf>
    <xf numFmtId="0" fontId="3" fillId="2" borderId="1" xfId="0" applyNumberFormat="1" applyFont="1" applyFill="1" applyBorder="1" applyAlignment="1">
      <alignment horizontal="left"/>
    </xf>
    <xf numFmtId="0" fontId="0" fillId="6" borderId="0" xfId="0" applyNumberFormat="1" applyFont="1" applyFill="1" applyBorder="1"/>
    <xf numFmtId="0" fontId="5" fillId="6" borderId="0" xfId="0" applyNumberFormat="1" applyFont="1" applyFill="1" applyBorder="1"/>
    <xf numFmtId="0" fontId="5" fillId="6" borderId="0" xfId="0" applyNumberFormat="1" applyFont="1" applyFill="1" applyBorder="1" applyAlignment="1">
      <alignment horizontal="left"/>
    </xf>
    <xf numFmtId="0" fontId="0" fillId="6" borderId="1" xfId="0" applyNumberFormat="1" applyFont="1" applyFill="1" applyBorder="1"/>
    <xf numFmtId="0" fontId="5" fillId="6" borderId="1" xfId="0" applyNumberFormat="1" applyFont="1" applyFill="1" applyBorder="1"/>
    <xf numFmtId="0" fontId="5" fillId="6" borderId="1" xfId="0" applyNumberFormat="1" applyFont="1" applyFill="1" applyBorder="1" applyAlignment="1">
      <alignment horizontal="left"/>
    </xf>
    <xf numFmtId="0" fontId="1" fillId="2" borderId="0" xfId="0" applyNumberFormat="1" applyFont="1" applyFill="1" applyBorder="1" applyAlignment="1">
      <alignment horizontal="left" wrapText="1"/>
    </xf>
    <xf numFmtId="0" fontId="1" fillId="2" borderId="1" xfId="0" applyNumberFormat="1" applyFont="1" applyFill="1" applyBorder="1" applyAlignment="1">
      <alignment horizontal="left" wrapText="1"/>
    </xf>
    <xf numFmtId="0" fontId="1" fillId="2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horizontal="right" vertical="center"/>
    </xf>
    <xf numFmtId="0" fontId="0" fillId="0" borderId="1" xfId="0" applyNumberFormat="1" applyFont="1" applyFill="1" applyBorder="1" applyAlignment="1">
      <alignment horizontal="right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7" borderId="0" xfId="0" applyNumberFormat="1" applyFont="1" applyFill="1" applyBorder="1"/>
    <xf numFmtId="0" fontId="6" fillId="7" borderId="0" xfId="0" applyNumberFormat="1" applyFont="1" applyFill="1" applyBorder="1"/>
    <xf numFmtId="0" fontId="6" fillId="7" borderId="0" xfId="0" applyNumberFormat="1" applyFont="1" applyFill="1" applyBorder="1" applyAlignment="1">
      <alignment horizontal="center"/>
    </xf>
    <xf numFmtId="0" fontId="0" fillId="7" borderId="1" xfId="0" applyNumberFormat="1" applyFont="1" applyFill="1" applyBorder="1"/>
    <xf numFmtId="0" fontId="6" fillId="7" borderId="1" xfId="0" applyNumberFormat="1" applyFont="1" applyFill="1" applyBorder="1"/>
    <xf numFmtId="0" fontId="6" fillId="7" borderId="1" xfId="0" applyNumberFormat="1" applyFont="1" applyFill="1" applyBorder="1" applyAlignment="1">
      <alignment horizontal="center"/>
    </xf>
    <xf numFmtId="0" fontId="7" fillId="0" borderId="0" xfId="0" applyNumberFormat="1" applyFont="1" applyFill="1" applyBorder="1"/>
    <xf numFmtId="200" fontId="7" fillId="0" borderId="0" xfId="0" applyNumberFormat="1" applyFont="1" applyFill="1" applyBorder="1"/>
    <xf numFmtId="0" fontId="7" fillId="0" borderId="1" xfId="0" applyNumberFormat="1" applyFont="1" applyFill="1" applyBorder="1"/>
    <xf numFmtId="200" fontId="7" fillId="0" borderId="1" xfId="0" applyNumberFormat="1" applyFont="1" applyFill="1" applyBorder="1"/>
    <xf numFmtId="0" fontId="7" fillId="8" borderId="0" xfId="0" applyNumberFormat="1" applyFont="1" applyFill="1" applyBorder="1"/>
    <xf numFmtId="200" fontId="7" fillId="8" borderId="0" xfId="0" applyNumberFormat="1" applyFont="1" applyFill="1" applyBorder="1"/>
    <xf numFmtId="0" fontId="7" fillId="8" borderId="1" xfId="0" applyNumberFormat="1" applyFont="1" applyFill="1" applyBorder="1"/>
    <xf numFmtId="200" fontId="7" fillId="8" borderId="1" xfId="0" applyNumberFormat="1" applyFont="1" applyFill="1" applyBorder="1"/>
    <xf numFmtId="0" fontId="7" fillId="9" borderId="0" xfId="0" applyNumberFormat="1" applyFont="1" applyFill="1" applyBorder="1"/>
    <xf numFmtId="200" fontId="7" fillId="9" borderId="0" xfId="0" applyNumberFormat="1" applyFont="1" applyFill="1" applyBorder="1"/>
    <xf numFmtId="0" fontId="7" fillId="9" borderId="1" xfId="0" applyNumberFormat="1" applyFont="1" applyFill="1" applyBorder="1"/>
    <xf numFmtId="200" fontId="7" fillId="9" borderId="1" xfId="0" applyNumberFormat="1" applyFont="1" applyFill="1" applyBorder="1"/>
    <xf numFmtId="200" fontId="8" fillId="0" borderId="0" xfId="0" applyNumberFormat="1" applyFont="1" applyFill="1" applyBorder="1"/>
    <xf numFmtId="200" fontId="8" fillId="0" borderId="1" xfId="0" applyNumberFormat="1" applyFont="1" applyFill="1" applyBorder="1"/>
    <xf numFmtId="201" fontId="8" fillId="0" borderId="0" xfId="0" applyNumberFormat="1" applyFont="1" applyFill="1" applyBorder="1"/>
    <xf numFmtId="201" fontId="8" fillId="0" borderId="1" xfId="0" applyNumberFormat="1" applyFont="1" applyFill="1" applyBorder="1"/>
    <xf numFmtId="0" fontId="3" fillId="4" borderId="0" xfId="0" applyNumberFormat="1" applyFont="1" applyFill="1" applyBorder="1" applyAlignment="1">
      <alignment horizontal="center" wrapText="1"/>
    </xf>
    <xf numFmtId="0" fontId="3" fillId="2" borderId="0" xfId="0" applyNumberFormat="1" applyFont="1" applyFill="1" applyBorder="1" applyAlignment="1">
      <alignment horizontal="left" wrapText="1"/>
    </xf>
    <xf numFmtId="200" fontId="8" fillId="0" borderId="0" xfId="0" applyNumberFormat="1" applyFont="1" applyFill="1" applyBorder="1" applyAlignment="1">
      <alignment wrapText="1"/>
    </xf>
    <xf numFmtId="201" fontId="8" fillId="0" borderId="0" xfId="0" applyNumberFormat="1" applyFont="1" applyFill="1" applyBorder="1" applyAlignment="1">
      <alignment wrapText="1"/>
    </xf>
    <xf numFmtId="201" fontId="0" fillId="0" borderId="0" xfId="0" applyNumberFormat="1" applyFont="1" applyFill="1" applyBorder="1" applyAlignment="1">
      <alignment wrapText="1"/>
    </xf>
    <xf numFmtId="200" fontId="0" fillId="0" borderId="0" xfId="0" applyNumberFormat="1" applyFont="1" applyFill="1" applyBorder="1" applyAlignment="1">
      <alignment wrapText="1"/>
    </xf>
    <xf numFmtId="0" fontId="7" fillId="8" borderId="0" xfId="0" applyNumberFormat="1" applyFont="1" applyFill="1" applyBorder="1" applyAlignment="1">
      <alignment wrapText="1"/>
    </xf>
    <xf numFmtId="200" fontId="7" fillId="8" borderId="0" xfId="0" applyNumberFormat="1" applyFont="1" applyFill="1" applyBorder="1" applyAlignment="1">
      <alignment wrapText="1"/>
    </xf>
    <xf numFmtId="0" fontId="7" fillId="9" borderId="0" xfId="0" applyNumberFormat="1" applyFont="1" applyFill="1" applyBorder="1" applyAlignment="1">
      <alignment wrapText="1"/>
    </xf>
    <xf numFmtId="200" fontId="7" fillId="9" borderId="0" xfId="0" applyNumberFormat="1" applyFont="1" applyFill="1" applyBorder="1" applyAlignment="1">
      <alignment wrapText="1"/>
    </xf>
    <xf numFmtId="0" fontId="6" fillId="7" borderId="0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wrapText="1"/>
    </xf>
    <xf numFmtId="0" fontId="3" fillId="2" borderId="1" xfId="0" applyNumberFormat="1" applyFont="1" applyFill="1" applyBorder="1" applyAlignment="1">
      <alignment horizontal="left" wrapText="1"/>
    </xf>
    <xf numFmtId="200" fontId="8" fillId="0" borderId="1" xfId="0" applyNumberFormat="1" applyFont="1" applyFill="1" applyBorder="1" applyAlignment="1">
      <alignment wrapText="1"/>
    </xf>
    <xf numFmtId="201" fontId="8" fillId="0" borderId="1" xfId="0" applyNumberFormat="1" applyFont="1" applyFill="1" applyBorder="1" applyAlignment="1">
      <alignment wrapText="1"/>
    </xf>
    <xf numFmtId="201" fontId="0" fillId="0" borderId="1" xfId="0" applyNumberFormat="1" applyFont="1" applyFill="1" applyBorder="1" applyAlignment="1">
      <alignment wrapText="1"/>
    </xf>
    <xf numFmtId="200" fontId="0" fillId="0" borderId="1" xfId="0" applyNumberFormat="1" applyFont="1" applyFill="1" applyBorder="1" applyAlignment="1">
      <alignment wrapText="1"/>
    </xf>
    <xf numFmtId="0" fontId="7" fillId="8" borderId="1" xfId="0" applyNumberFormat="1" applyFont="1" applyFill="1" applyBorder="1" applyAlignment="1">
      <alignment wrapText="1"/>
    </xf>
    <xf numFmtId="200" fontId="7" fillId="8" borderId="1" xfId="0" applyNumberFormat="1" applyFont="1" applyFill="1" applyBorder="1" applyAlignment="1">
      <alignment wrapText="1"/>
    </xf>
    <xf numFmtId="0" fontId="7" fillId="9" borderId="1" xfId="0" applyNumberFormat="1" applyFont="1" applyFill="1" applyBorder="1" applyAlignment="1">
      <alignment wrapText="1"/>
    </xf>
    <xf numFmtId="200" fontId="7" fillId="9" borderId="1" xfId="0" applyNumberFormat="1" applyFont="1" applyFill="1" applyBorder="1" applyAlignment="1">
      <alignment wrapText="1"/>
    </xf>
    <xf numFmtId="0" fontId="6" fillId="7" borderId="1" xfId="0" applyNumberFormat="1" applyFont="1" applyFill="1" applyBorder="1" applyAlignment="1">
      <alignment horizontal="center" wrapText="1"/>
    </xf>
    <xf numFmtId="0" fontId="9" fillId="2" borderId="0" xfId="0" applyNumberFormat="1" applyFont="1" applyFill="1" applyBorder="1"/>
    <xf numFmtId="0" fontId="9" fillId="2" borderId="0" xfId="0" applyNumberFormat="1" applyFont="1" applyFill="1" applyBorder="1" applyAlignment="1">
      <alignment horizontal="left"/>
    </xf>
    <xf numFmtId="0" fontId="9" fillId="2" borderId="1" xfId="0" applyNumberFormat="1" applyFont="1" applyFill="1" applyBorder="1"/>
    <xf numFmtId="0" fontId="9" fillId="2" borderId="1" xfId="0" applyNumberFormat="1" applyFont="1" applyFill="1" applyBorder="1" applyAlignment="1">
      <alignment horizontal="left"/>
    </xf>
    <xf numFmtId="0" fontId="0" fillId="9" borderId="0" xfId="0" applyNumberFormat="1" applyFont="1" applyFill="1" applyBorder="1"/>
    <xf numFmtId="0" fontId="0" fillId="9" borderId="1" xfId="0" applyNumberFormat="1" applyFont="1" applyFill="1" applyBorder="1"/>
    <xf numFmtId="0" fontId="10" fillId="0" borderId="0" xfId="0" applyNumberFormat="1" applyFont="1" applyFill="1" applyBorder="1"/>
    <xf numFmtId="0" fontId="10" fillId="0" borderId="1" xfId="0" applyNumberFormat="1" applyFont="1" applyFill="1" applyBorder="1"/>
    <xf numFmtId="200" fontId="10" fillId="0" borderId="0" xfId="0" applyNumberFormat="1" applyFont="1" applyFill="1" applyBorder="1"/>
    <xf numFmtId="200" fontId="10" fillId="0" borderId="1" xfId="0" applyNumberFormat="1" applyFont="1" applyFill="1" applyBorder="1"/>
    <xf numFmtId="0" fontId="9" fillId="2" borderId="0" xfId="0" applyNumberFormat="1" applyFont="1" applyFill="1" applyBorder="1" applyAlignment="1">
      <alignment horizontal="left" vertical="center"/>
    </xf>
    <xf numFmtId="0" fontId="9" fillId="2" borderId="1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0" fillId="0" borderId="1" xfId="0" applyNumberFormat="1" applyFont="1" applyFill="1" applyBorder="1" applyAlignment="1">
      <alignment vertical="top"/>
    </xf>
    <xf numFmtId="202" fontId="4" fillId="5" borderId="0" xfId="0" applyNumberFormat="1" applyFont="1" applyFill="1" applyBorder="1" applyAlignment="1">
      <alignment wrapText="1"/>
    </xf>
    <xf numFmtId="202" fontId="8" fillId="0" borderId="0" xfId="0" applyNumberFormat="1" applyFont="1" applyFill="1" applyBorder="1" applyAlignment="1">
      <alignment wrapText="1"/>
    </xf>
  </cellXfs>
  <cellStyles count="1">
    <cellStyle name="Normal" xfId="0"/>
  </cellStyles>
  <dxfs count="1">
    <dxf>
      <font>
        <color rgb="FFC00000"/>
      </font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eec34c512f470f" /><Relationship Type="http://schemas.openxmlformats.org/officeDocument/2006/relationships/theme" Target="/xl/theme/theme1.xml" Id="Rc9e652909ab7485a" /><Relationship Type="http://schemas.openxmlformats.org/officeDocument/2006/relationships/sharedStrings" Target="/xl/sharedStrings.xml" Id="R59a4a8dd796343ab" /><Relationship Type="http://schemas.openxmlformats.org/officeDocument/2006/relationships/worksheet" Target="/xl/worksheets/sheet1.xml" Id="R6b1ad4e9a7674c3d" /><Relationship Type="http://schemas.openxmlformats.org/officeDocument/2006/relationships/worksheet" Target="/xl/worksheets/sheet2.xml" Id="R496985948fa94483" /><Relationship Type="http://schemas.openxmlformats.org/officeDocument/2006/relationships/worksheet" Target="/xl/worksheets/sheet3.xml" Id="Rdcf7a195f4b547e4" /><Relationship Type="http://schemas.openxmlformats.org/officeDocument/2006/relationships/worksheet" Target="/xl/worksheets/sheet4.xml" Id="R1ab348c6ba1047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d9f528e6ef46aa" /><Relationship Type="http://schemas.openxmlformats.org/officeDocument/2006/relationships/chart" Target="/xl/drawings/charts/chart2.xml" Id="R4bd302d3cf8b4d3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총매출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'Dashboard'!$D$5:$D$10</c:f>
              <c:strCache>
                <c:ptCount val="0"/>
              </c:strCache>
            </c:strRef>
          </c:cat>
          <c:val>
            <c:numRef>
              <c:f>'Dashboard'!$E$5:$E$10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순이익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'Dashboard'!$D$5:$D$10</c:f>
              <c:strCache>
                <c:ptCount val="0"/>
              </c:strCache>
            </c:strRef>
          </c:cat>
          <c:val>
            <c:numRef>
              <c:f>'Dashboard'!$F$5:$F$10</c:f>
              <c:numCache>
                <c:formatCode>#,##0;[Red](#,##0);-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누적 순이익 및 BEP 추세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총매출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'Dashboard'!$D$5:$D$10</c:f>
              <c:strCache>
                <c:ptCount val="0"/>
              </c:strCache>
            </c:strRef>
          </c:cat>
          <c:val>
            <c:numRef>
              <c:f>'Dashboard'!$E$5:$E$10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순이익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'Dashboard'!$D$5:$D$10</c:f>
              <c:strCache>
                <c:ptCount val="0"/>
              </c:strCache>
            </c:strRef>
          </c:cat>
          <c:val>
            <c:numRef>
              <c:f>'Dashboard'!$F$5:$F$10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누적 순이익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'Dashboard'!$D$5:$D$10</c:f>
              <c:strCache>
                <c:ptCount val="0"/>
              </c:strCache>
            </c:strRef>
          </c:cat>
          <c:val>
            <c:numRef>
              <c:f>'Dashboard'!$G$5:$G$10</c:f>
              <c:numCache>
                <c:formatCode>#,##0;[Red](#,##0);-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d9f528e6ef46aa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8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d302d3cf8b4d3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nputsTable" displayName="InputsTable" ref="A4:E34" headerRowCount="1">
  <tableColumns count="5">
    <tableColumn id="1" name="구분"/>
    <tableColumn id="2" name="항목"/>
    <tableColumn id="3" name="값"/>
    <tableColumn id="4" name="단위"/>
    <tableColumn id="5" name="비고"/>
  </tableColumns>
  <tableStyleInfo name="TableStyleMedium2" showRowStripes="1"/>
</table>
</file>

<file path=xl/tables/table2.xml><?xml version="1.0" encoding="utf-8"?>
<x:table xmlns:x="http://schemas.openxmlformats.org/spreadsheetml/2006/main" id="2" name="YearlyAssumptionsTable" displayName="YearlyAssumptionsTable" ref="G4:N8" headerRowCount="1">
  <x:tableColumns count="8">
    <x:tableColumn id="1" name="항목"/>
    <x:tableColumn id="2" name="단위"/>
    <x:tableColumn id="3" name="FY 1"/>
    <x:tableColumn id="4" name="FY 2"/>
    <x:tableColumn id="5" name="FY 3"/>
    <x:tableColumn id="6" name="FY 4"/>
    <x:tableColumn id="7" name="FY 5"/>
    <x:tableColumn id="8" name="FY 10"/>
  </x:tableColumns>
  <x:tableStyleInfo name="TableStyleMedium2" showRowStripes="1"/>
</x:table>
</file>

<file path=xl/tables/table3.xml><?xml version="1.0" encoding="utf-8"?>
<table xmlns="http://schemas.openxmlformats.org/spreadsheetml/2006/main" id="3" name="SourcesTable" displayName="SourcesTable" ref="A3:D16" headerRowCount="1">
  <tableColumns count="4">
    <tableColumn id="1" name="입력 항목"/>
    <tableColumn id="2" name="모델 가정"/>
    <tableColumn id="3" name="출처/근거 URL"/>
    <tableColumn id="4" name="비고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49ac33799c44cb" /><Relationship Type="http://schemas.openxmlformats.org/officeDocument/2006/relationships/table" Target="/xl/tables/table2.xml" Id="R6fa466f82d4440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18c5d3cca2f4f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e8a88659f7468c" /></Relationships>
</file>

<file path=xl/worksheets/sheet1.xml><?xml version="1.0" encoding="utf-8"?>
<worksheet xmlns="http://schemas.openxmlformats.org/spreadsheetml/2006/main" xmlns:ns1="http://schemas.openxmlformats.org/officeDocument/2006/relationships">
  <sheetFormatPr defaultRowHeight="15"/>
  <cols>
    <col min="1" max="1" width="14" hidden="0" customWidth="1"/>
    <col min="2" max="2" width="28" hidden="0" customWidth="1"/>
    <col min="3" max="3" width="16" hidden="0" customWidth="1"/>
    <col min="4" max="4" width="14" hidden="0" customWidth="1"/>
    <col min="5" max="5" width="34" hidden="0" customWidth="1"/>
    <col min="6" max="6" width="3" hidden="0" customWidth="1"/>
    <col min="7" max="7" width="30" hidden="0" customWidth="1"/>
    <col min="8" max="8" width="12" hidden="0" customWidth="1"/>
    <col min="9" max="9" width="12" hidden="0" customWidth="1"/>
    <col min="10" max="10" width="12" hidden="0" customWidth="1"/>
    <col min="11" max="11" width="12" hidden="0" customWidth="1"/>
    <col min="12" max="12" width="12" hidden="0" customWidth="1"/>
  </cols>
  <sheetData>
    <row r="1">
      <c r="A1" s="44" t="str">
        <v>TESSERA 군 납품 모델 - Assumptions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10" t="str">
        <v>파란 글씨/노란 배경은 사용자가 바꿀 수 있는 핵심 가정값입니다. 단위는 원/명/%/대 기준입니다.</v>
      </c>
      <c r="B2"/>
      <c r="C2"/>
      <c r="D2"/>
      <c r="E2"/>
    </row>
    <row r="4">
      <c r="A4" s="16" t="str">
        <v>구분</v>
      </c>
      <c r="B4" s="16" t="str">
        <v>항목</v>
      </c>
      <c r="C4" s="16" t="str">
        <v>값</v>
      </c>
      <c r="D4" s="16" t="str">
        <v>단위</v>
      </c>
      <c r="E4" s="16" t="str">
        <v>비고</v>
      </c>
      <c r="G4" s="16" t="str">
        <v>항목</v>
      </c>
      <c r="H4" s="16" t="str">
        <v>단위</v>
      </c>
      <c r="I4" s="16" t="str">
        <v>FY 1</v>
      </c>
      <c r="J4" s="16" t="str">
        <v>FY 2</v>
      </c>
      <c r="K4" s="16" t="str">
        <v>FY 3</v>
      </c>
      <c r="L4" s="16" t="str">
        <v>FY 4</v>
      </c>
      <c r="M4" t="str">
        <v>FY 5</v>
      </c>
      <c r="N4" t="str">
        <v>FY 10</v>
      </c>
    </row>
    <row r="5">
      <c r="A5" s="20" t="str">
        <v>인원</v>
      </c>
      <c r="B5" s="20" t="str">
        <v>병사 복무 인원</v>
      </c>
      <c r="C5" s="26" t="n">
        <v>270000</v>
      </c>
      <c r="D5" s="20" t="str">
        <v>명</v>
      </c>
      <c r="E5" s="20" t="str">
        <v>45만 명 중 일반 병사 가정</v>
      </c>
      <c r="G5" s="20" t="str">
        <v>병사 신규 보급률</v>
      </c>
      <c r="H5" s="20" t="str">
        <v>%</v>
      </c>
      <c r="I5" s="36" t="n">
        <v>0.2</v>
      </c>
      <c r="J5" s="36" t="n">
        <v>0.4</v>
      </c>
      <c r="K5" s="36" t="n">
        <v>0.6</v>
      </c>
      <c r="L5" s="36" t="n">
        <v>0.8</v>
      </c>
      <c r="M5" s="36" t="n">
        <v>1</v>
      </c>
      <c r="N5" s="36" t="n">
        <v>1</v>
      </c>
    </row>
    <row r="6">
      <c r="A6" s="20" t="str">
        <v>인원</v>
      </c>
      <c r="B6" s="20" t="str">
        <v>장교 복무 인원</v>
      </c>
      <c r="C6" s="26" t="n">
        <v>70000</v>
      </c>
      <c r="D6" s="20" t="str">
        <v>명</v>
      </c>
      <c r="E6" s="20" t="str">
        <v>간부 18만 명 중 장교 가정</v>
      </c>
      <c r="G6" s="20" t="str">
        <v>장교 신규 보급률</v>
      </c>
      <c r="H6" s="20" t="str">
        <v>%</v>
      </c>
      <c r="I6" s="36" t="n">
        <v>0.2</v>
      </c>
      <c r="J6" s="36" t="n">
        <v>0.4</v>
      </c>
      <c r="K6" s="36" t="n">
        <v>0.6</v>
      </c>
      <c r="L6" s="36" t="n">
        <v>0.8</v>
      </c>
      <c r="M6" s="36" t="n">
        <v>1</v>
      </c>
      <c r="N6" s="36" t="n">
        <v>1</v>
      </c>
    </row>
    <row r="7">
      <c r="A7" s="20" t="str">
        <v>인원</v>
      </c>
      <c r="B7" s="20" t="str">
        <v>부사관 복무 인원</v>
      </c>
      <c r="C7" s="26" t="n">
        <v>110000</v>
      </c>
      <c r="D7" s="20" t="str">
        <v>명</v>
      </c>
      <c r="E7" s="20" t="str">
        <v>간부 18만 명 중 부사관 가정</v>
      </c>
      <c r="G7" s="20" t="str">
        <v>부사관 신규 보급률</v>
      </c>
      <c r="H7" s="20" t="str">
        <v>%</v>
      </c>
      <c r="I7" s="36" t="n">
        <v>0.2</v>
      </c>
      <c r="J7" s="36" t="n">
        <v>0.4</v>
      </c>
      <c r="K7" s="36" t="n">
        <v>0.6</v>
      </c>
      <c r="L7" s="36" t="n">
        <v>0.8</v>
      </c>
      <c r="M7" s="36" t="n">
        <v>1</v>
      </c>
      <c r="N7" s="36" t="n">
        <v>1</v>
      </c>
    </row>
    <row r="8">
      <c r="A8" s="20" t="str">
        <v>복무기간</v>
      </c>
      <c r="B8" s="20" t="str">
        <v>병사 평균 복무기간</v>
      </c>
      <c r="C8" s="126" t="n">
        <v>1.5</v>
      </c>
      <c r="D8" s="20" t="str">
        <v>년</v>
      </c>
      <c r="E8" s="20" t="str">
        <v>육군/해병대 18개월 중심 단순화</v>
      </c>
      <c r="G8" s="20" t="str">
        <v>FTE</v>
      </c>
      <c r="H8" s="20" t="str">
        <v>명</v>
      </c>
      <c r="I8" s="37" t="n">
        <v>4</v>
      </c>
      <c r="J8" s="37" t="n">
        <v>5</v>
      </c>
      <c r="K8" s="37" t="n">
        <v>6</v>
      </c>
      <c r="L8" s="37" t="n">
        <v>8</v>
      </c>
      <c r="M8" s="32" t="n">
        <v>10</v>
      </c>
      <c r="N8" s="32" t="n">
        <v>18</v>
      </c>
    </row>
    <row r="9">
      <c r="A9" s="20" t="str">
        <v>복무기간</v>
      </c>
      <c r="B9" s="20" t="str">
        <v>장교 평균 재직기간</v>
      </c>
      <c r="C9" s="26" t="n">
        <v>10</v>
      </c>
      <c r="D9" s="20" t="str">
        <v>년</v>
      </c>
      <c r="E9" s="20" t="str">
        <v>초급+중견 장교 평균 체류 가정</v>
      </c>
    </row>
    <row r="10">
      <c r="A10" s="20" t="str">
        <v>복무기간</v>
      </c>
      <c r="B10" s="20" t="str">
        <v>부사관 평균 재직기간</v>
      </c>
      <c r="C10" s="26" t="n">
        <v>12</v>
      </c>
      <c r="D10" s="20" t="str">
        <v>년</v>
      </c>
      <c r="E10" s="20" t="str">
        <v>부사관 장기복무 비중 반영 가정</v>
      </c>
    </row>
    <row r="11">
      <c r="A11" s="20" t="str">
        <v>신규</v>
      </c>
      <c r="B11" s="20" t="str">
        <v>연간 신규 병사</v>
      </c>
      <c r="C11" s="26" t="n">
        <v>180000</v>
      </c>
      <c r="D11" s="20" t="str">
        <v>명/년</v>
      </c>
      <c r="E11" s="20" t="str">
        <v>270,000명 / 1.5년</v>
      </c>
    </row>
    <row r="12">
      <c r="A12" s="20" t="str">
        <v>신규</v>
      </c>
      <c r="B12" s="20" t="str">
        <v>연간 신규 장교</v>
      </c>
      <c r="C12" s="26" t="n">
        <v>7000</v>
      </c>
      <c r="D12" s="20" t="str">
        <v>명/년</v>
      </c>
      <c r="E12" s="20" t="str">
        <v>70,000명 / 10년</v>
      </c>
    </row>
    <row r="13">
      <c r="A13" s="20" t="str">
        <v>신규</v>
      </c>
      <c r="B13" s="20" t="str">
        <v>연간 신규 부사관</v>
      </c>
      <c r="C13" s="26" t="n">
        <v>9167</v>
      </c>
      <c r="D13" s="20" t="str">
        <v>명/년</v>
      </c>
      <c r="E13" s="20" t="str">
        <v>110,000명 / 12년</v>
      </c>
    </row>
    <row r="14">
      <c r="A14" s="20" t="str">
        <v>운영</v>
      </c>
      <c r="B14" s="20" t="str">
        <v>인식표/인식기 비율</v>
      </c>
      <c r="C14" s="26" t="n">
        <v>30</v>
      </c>
      <c r="D14" s="20" t="str">
        <v>개/대</v>
      </c>
      <c r="E14" s="20" t="str">
        <v>인식표 30개당 인식기 1대</v>
      </c>
    </row>
    <row r="15">
      <c r="A15" s="20" t="str">
        <v>운영</v>
      </c>
      <c r="B15" s="20" t="str">
        <v>인식기 배치 상한</v>
      </c>
      <c r="C15" s="26" t="n">
        <v>15000</v>
      </c>
      <c r="D15" s="20" t="str">
        <v>대</v>
      </c>
      <c r="E15" s="20" t="str">
        <v>45만 명 / 30개당 1대</v>
      </c>
    </row>
    <row r="16">
      <c r="A16" s="20" t="str">
        <v>운영</v>
      </c>
      <c r="B16" s="20" t="str">
        <v>인식표 파손 교체율</v>
      </c>
      <c r="C16" s="28" t="n">
        <v>0.1</v>
      </c>
      <c r="D16" s="20" t="str">
        <v>%</v>
      </c>
      <c r="E16" s="20" t="str">
        <v>활성 보급 인원 기준 연간 교체</v>
      </c>
    </row>
    <row r="17">
      <c r="A17" s="20" t="str">
        <v>운영</v>
      </c>
      <c r="B17" s="20" t="str">
        <v>NFC 인식기 파손 교체율</v>
      </c>
      <c r="C17" s="28" t="n">
        <v>0.2</v>
      </c>
      <c r="D17" s="20" t="str">
        <v>%</v>
      </c>
      <c r="E17" s="20" t="str">
        <v>운용 인식기 연간 교체 수요</v>
      </c>
    </row>
    <row r="18">
      <c r="A18" s="20" t="str">
        <v>가격</v>
      </c>
      <c r="B18" s="20" t="str">
        <v>NFC 인식표 판매가</v>
      </c>
      <c r="C18" s="26" t="n">
        <v>3000</v>
      </c>
      <c r="D18" s="20" t="str">
        <v>원/개</v>
      </c>
      <c r="E18" s="20" t="str">
        <v>사용자 제공값</v>
      </c>
    </row>
    <row r="19">
      <c r="A19" s="20" t="str">
        <v>가격</v>
      </c>
      <c r="B19" s="20" t="str">
        <v>NFC 인식기 판매가</v>
      </c>
      <c r="C19" s="26" t="n">
        <v>50000</v>
      </c>
      <c r="D19" s="20" t="str">
        <v>원/대</v>
      </c>
      <c r="E19" s="20" t="str">
        <v>사용자 제공값</v>
      </c>
    </row>
    <row r="20">
      <c r="A20" s="20" t="str">
        <v>가격</v>
      </c>
      <c r="B20" s="20" t="str">
        <v>군 보안 프로그램 라이선스</v>
      </c>
      <c r="C20" s="26" t="n">
        <v>280000</v>
      </c>
      <c r="D20" s="20" t="str">
        <v>원/인식기/년</v>
      </c>
      <c r="E20" s="20" t="str">
        <v>EDR 포함 보안 프로그램 공개 가격 벤치마크 기반</v>
      </c>
    </row>
    <row r="21">
      <c r="A21" s="20" t="str">
        <v>가격</v>
      </c>
      <c r="B21" s="20" t="str">
        <v>SaaS 관리 플랫폼 라이선스</v>
      </c>
      <c r="C21" s="26" t="n">
        <v>100000</v>
      </c>
      <c r="D21" s="20" t="str">
        <v>원/인식기/년</v>
      </c>
      <c r="E21" s="20" t="str">
        <v>MDM/기기관리 SaaS 공개 가격 벤치마크 기반</v>
      </c>
    </row>
    <row r="22">
      <c r="A22" s="20" t="str">
        <v>가격</v>
      </c>
      <c r="B22" s="20" t="str">
        <v>유지보수율</v>
      </c>
      <c r="C22" s="28" t="n">
        <v>0.12</v>
      </c>
      <c r="D22" s="20" t="str">
        <v>% of HW revenue</v>
      </c>
      <c r="E22" s="20" t="str">
        <v>펌웨어/보안 업데이트 포함</v>
      </c>
    </row>
    <row r="23">
      <c r="A23" s="20" t="str">
        <v>원가</v>
      </c>
      <c r="B23" s="20" t="str">
        <v>NFC 인식표 원가</v>
      </c>
      <c r="C23" s="26" t="n">
        <v>1200</v>
      </c>
      <c r="D23" s="20" t="str">
        <v>원/개</v>
      </c>
      <c r="E23" s="20" t="str">
        <v>초기 제조 가정</v>
      </c>
    </row>
    <row r="24">
      <c r="A24" s="20" t="str">
        <v>원가</v>
      </c>
      <c r="B24" s="20" t="str">
        <v>NFC 인식기 원가</v>
      </c>
      <c r="C24" s="26" t="n">
        <v>30000</v>
      </c>
      <c r="D24" s="20" t="str">
        <v>원/대</v>
      </c>
      <c r="E24" s="20" t="str">
        <v>초기 제조 가정</v>
      </c>
    </row>
    <row r="25">
      <c r="A25" s="20" t="str">
        <v>원가</v>
      </c>
      <c r="B25" s="20" t="str">
        <v>보안 프로그램 라이선스 원가율</v>
      </c>
      <c r="C25" s="28" t="n">
        <v>0.3</v>
      </c>
      <c r="D25" s="20" t="str">
        <v>% of security license revenue</v>
      </c>
      <c r="E25" s="20" t="str">
        <v>라이선스/운영지원 원가 가정</v>
      </c>
    </row>
    <row r="26">
      <c r="A26" t="str" s="20">
        <v>원가</v>
      </c>
      <c r="B26" t="str" s="20">
        <v>SaaS 서버+AI 연간 운영비</v>
      </c>
      <c r="C26" t="n" s="26">
        <v>100000</v>
      </c>
      <c r="D26" t="str" s="20">
        <v>원/인식기/년</v>
      </c>
      <c r="E26" t="str" s="20">
        <v>클라우드·로그·백업·AI 분석 운영비</v>
      </c>
    </row>
    <row r="27">
      <c r="A27" t="str" s="20">
        <v>고정비</v>
      </c>
      <c r="B27" t="str" s="20">
        <v>인건비/인</v>
      </c>
      <c r="C27" t="n" s="26">
        <v>70000000</v>
      </c>
      <c r="D27" t="str" s="20">
        <v>원/명/년</v>
      </c>
      <c r="E27" t="str" s="20">
        <v>사용자 제공값</v>
      </c>
    </row>
    <row r="28">
      <c r="A28" s="20" t="str">
        <v>고정비</v>
      </c>
      <c r="B28" t="str" s="20">
        <v>법인 운영비 FY1</v>
      </c>
      <c r="C28" t="n" s="26">
        <v>30000000</v>
      </c>
      <c r="D28" t="str" s="20">
        <v>원/년</v>
      </c>
      <c r="E28" t="str" s="20">
        <v>인건비 제외</v>
      </c>
    </row>
    <row r="29">
      <c r="A29" s="20" t="str">
        <v>고정비</v>
      </c>
      <c r="B29" s="20" t="str">
        <v>마케팅비 FY1</v>
      </c>
      <c r="C29" t="n" s="26">
        <v>20000000</v>
      </c>
      <c r="D29" t="str" s="20">
        <v>원/년</v>
      </c>
      <c r="E29" t="str" s="20">
        <v>전시/PR/제안서 중심</v>
      </c>
    </row>
    <row r="30">
      <c r="A30" s="20" t="str">
        <v>고정비</v>
      </c>
      <c r="B30" s="20" t="str">
        <v>기타 비용 FY1</v>
      </c>
      <c r="C30" t="n" s="26">
        <v>15000000</v>
      </c>
      <c r="D30" t="str" s="20">
        <v>원/년</v>
      </c>
      <c r="E30" t="str" s="20">
        <v>예비비/샘플/특허 등</v>
      </c>
    </row>
    <row r="31">
      <c r="A31" s="20" t="str">
        <v>고정비</v>
      </c>
      <c r="B31" s="20" t="str">
        <v>법인 운영비 성장률</v>
      </c>
      <c r="C31" t="n" s="28">
        <v>0.1</v>
      </c>
      <c r="D31" t="str" s="20">
        <v>%/년</v>
      </c>
      <c r="E31" s="20"/>
    </row>
    <row r="32">
      <c r="A32" t="str" s="20">
        <v>고정비</v>
      </c>
      <c r="B32" t="str" s="20">
        <v>마케팅비 성장률</v>
      </c>
      <c r="C32" t="n" s="28">
        <v>0.15</v>
      </c>
      <c r="D32" t="str" s="20">
        <v>%/년</v>
      </c>
      <c r="E32" s="20"/>
    </row>
    <row r="33">
      <c r="A33" t="str" s="20">
        <v>고정비</v>
      </c>
      <c r="B33" t="str" s="20">
        <v>기타 비용 성장률</v>
      </c>
      <c r="C33" t="n" s="28">
        <v>0.1</v>
      </c>
      <c r="D33" t="str" s="20">
        <v>%/년</v>
      </c>
      <c r="E33" s="20"/>
    </row>
    <row r="34">
      <c r="A34" t="str" s="20">
        <v>세금</v>
      </c>
      <c r="B34" t="str" s="20">
        <v>법인세율</v>
      </c>
      <c r="C34" t="n" s="28">
        <v>0.2</v>
      </c>
      <c r="D34" t="str" s="20">
        <v>%</v>
      </c>
      <c r="E34" t="str" s="20">
        <v>단순 모델 가정</v>
      </c>
    </row>
    <row r="36">
      <c r="A36" t="str">
        <v>모델링 노트</v>
      </c>
      <c r="B36"/>
    </row>
    <row r="37">
      <c r="A37" t="str">
        <v>1</v>
      </c>
      <c r="B37" t="str">
        <v>기존 장병 신규 전환 및 기존 장병 누적 전환율은 제거했습니다.</v>
      </c>
    </row>
    <row r="38">
      <c r="A38" t="str">
        <v>2</v>
      </c>
      <c r="B38" t="str">
        <v>FY10은 성숙 단계 run-rate입니다. 장교/부사관 장기 재직자는 실제 전환 완료까지 더 긴 시간이 걸릴 수 있습니다.</v>
      </c>
    </row>
    <row r="39">
      <c r="A39" t="str">
        <v>3</v>
      </c>
      <c r="B39" t="str">
        <v>인식기는 15,000대 배치 상한에 도달한 뒤 신규 배치 없이 연 20% 교체만 발생하도록 계산했습니다.</v>
      </c>
    </row>
    <row r="40">
      <c r="A40" t="str">
        <v>4</v>
      </c>
      <c r="B40" t="str">
        <v>간부 인원 배분은 공개자료 한계상 장교 7만 명, 부사관 11만 명으로 둔 사업계획용 가정입니다.</v>
      </c>
    </row>
  </sheetData>
  <mergeCells>
    <mergeCell ref="A1:H1"/>
    <mergeCell ref="A2:H2"/>
    <mergeCell ref="A28:E28"/>
  </mergeCells>
  <pageMargins left="0.7" right="0.7" top="0.75" bottom="0.75" header="0.3" footer="0.3"/>
  <tableParts count="2">
    <tablePart ns1:id="R8449ac33799c44cb"/>
    <tablePart ns1:id="R6fa466f82d4440ea"/>
  </tableParts>
</worksheet>
</file>

<file path=xl/worksheets/sheet2.xml><?xml version="1.0" encoding="utf-8"?>
<worksheet xmlns="http://schemas.openxmlformats.org/spreadsheetml/2006/main">
  <sheetFormatPr defaultRowHeight="15"/>
  <cols>
    <col min="1" max="1" width="30" hidden="0" customWidth="1"/>
    <col min="2" max="2" width="16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8" hidden="0" customWidth="1"/>
  </cols>
  <sheetData>
    <row r="1">
      <c r="A1" s="58" t="str">
        <v>군 납품 확대 모델: 실증 이후 정규 보급 전환</v>
      </c>
      <c r="B1" s="59"/>
      <c r="C1" s="62"/>
      <c r="D1" s="62"/>
      <c r="E1" s="62"/>
      <c r="F1" s="62"/>
      <c r="G1" s="62"/>
      <c r="H1" s="62"/>
      <c r="I1" s="64"/>
    </row>
    <row r="2">
      <c r="A2" s="10" t="str">
        <v>병사/장교/부사관 신규 보급 + 파손 교체 + 인식기당 보안/SaaS 반복 매출 구조</v>
      </c>
      <c r="B2"/>
    </row>
    <row r="3">
      <c r="A3" s="52" t="str">
        <f>"핵심 결과: FY5 매출 "&amp;TEXT(G45/100000000,"0.0")&amp;"억 원 / FY10 매출 "&amp;TEXT(H45/100000000,"0.0")&amp;"억 원 / BEP "&amp;I77</f>
        <v>핵심 결과: FY5 매출 47.6억 원 / FY10 매출 66.8억 원 / BEP FY 1</v>
      </c>
      <c r="B3"/>
    </row>
    <row r="5">
      <c r="A5" s="88" t="str">
        <v>구분 / 계산 항목</v>
      </c>
      <c r="B5" s="88" t="str">
        <v>단위 / 비고</v>
      </c>
      <c r="C5" s="88" t="str">
        <v>FY 1</v>
      </c>
      <c r="D5" s="88" t="str">
        <v>FY 2</v>
      </c>
      <c r="E5" s="88" t="str">
        <v>FY 3</v>
      </c>
      <c r="F5" s="88" t="str">
        <v>FY 4</v>
      </c>
      <c r="G5" s="88" t="str">
        <v>FY 5</v>
      </c>
      <c r="H5" s="88" t="str">
        <v>FY 10</v>
      </c>
      <c r="I5" s="88" t="str">
        <v>BEP 도달연도</v>
      </c>
    </row>
    <row r="6">
      <c r="A6" s="89" t="str">
        <v>운영 드라이버</v>
      </c>
      <c r="B6" s="89"/>
      <c r="C6" s="89"/>
      <c r="D6" s="89"/>
      <c r="E6" s="89"/>
      <c r="F6" s="89"/>
      <c r="G6" s="89"/>
      <c r="H6" s="89"/>
      <c r="I6" s="89"/>
    </row>
    <row r="7">
      <c r="A7" s="20"/>
      <c r="B7" s="20"/>
      <c r="C7" s="90"/>
      <c r="D7" s="90"/>
      <c r="E7" s="90"/>
      <c r="F7" s="90"/>
      <c r="G7" s="90"/>
      <c r="H7" s="90"/>
      <c r="I7" s="20"/>
    </row>
    <row r="8">
      <c r="A8" s="20" t="str">
        <v>병사 복무 인원</v>
      </c>
      <c r="B8" s="20" t="str">
        <v>명</v>
      </c>
      <c r="C8" s="90" t="n">
        <f>Inputs!$C$5</f>
        <v>270000</v>
      </c>
      <c r="D8" s="90" t="n">
        <f>Inputs!$C$5</f>
        <v>270000</v>
      </c>
      <c r="E8" s="90" t="n">
        <f>Inputs!$C$5</f>
        <v>270000</v>
      </c>
      <c r="F8" s="90" t="n">
        <f>Inputs!$C$5</f>
        <v>270000</v>
      </c>
      <c r="G8" s="90" t="n">
        <f>Inputs!$C$5</f>
        <v>270000</v>
      </c>
      <c r="H8" s="90" t="n">
        <f>Inputs!$C$5</f>
        <v>270000</v>
      </c>
      <c r="I8" s="20"/>
    </row>
    <row r="9">
      <c r="A9" s="20" t="str">
        <v>장교 복무 인원</v>
      </c>
      <c r="B9" s="20" t="str">
        <v>명</v>
      </c>
      <c r="C9" s="90" t="n">
        <f>Inputs!$C$6</f>
        <v>70000</v>
      </c>
      <c r="D9" s="90" t="n">
        <f>Inputs!$C$6</f>
        <v>70000</v>
      </c>
      <c r="E9" s="90" t="n">
        <f>Inputs!$C$6</f>
        <v>70000</v>
      </c>
      <c r="F9" s="90" t="n">
        <f>Inputs!$C$6</f>
        <v>70000</v>
      </c>
      <c r="G9" s="90" t="n">
        <f>Inputs!$C$6</f>
        <v>70000</v>
      </c>
      <c r="H9" s="90" t="n">
        <f>Inputs!$C$6</f>
        <v>70000</v>
      </c>
      <c r="I9" s="20"/>
    </row>
    <row r="10">
      <c r="A10" s="20" t="str">
        <v>부사관 복무 인원</v>
      </c>
      <c r="B10" s="20" t="str">
        <v>명</v>
      </c>
      <c r="C10" s="90" t="n">
        <f>Inputs!$C$7</f>
        <v>110000</v>
      </c>
      <c r="D10" s="90" t="n">
        <f>Inputs!$C$7</f>
        <v>110000</v>
      </c>
      <c r="E10" s="90" t="n">
        <f>Inputs!$C$7</f>
        <v>110000</v>
      </c>
      <c r="F10" s="90" t="n">
        <f>Inputs!$C$7</f>
        <v>110000</v>
      </c>
      <c r="G10" s="90" t="n">
        <f>Inputs!$C$7</f>
        <v>110000</v>
      </c>
      <c r="H10" s="90" t="n">
        <f>Inputs!$C$7</f>
        <v>110000</v>
      </c>
      <c r="I10" s="20"/>
    </row>
    <row r="11">
      <c r="A11" s="20" t="str">
        <v>총 대상 인원</v>
      </c>
      <c r="B11" s="20" t="str">
        <v>명</v>
      </c>
      <c r="C11" s="90" t="n">
        <f>SUM(C8:C10)</f>
        <v>450000</v>
      </c>
      <c r="D11" s="90" t="n">
        <f>SUM(D8:D10)</f>
        <v>450000</v>
      </c>
      <c r="E11" s="90" t="n">
        <f>SUM(E8:E10)</f>
        <v>450000</v>
      </c>
      <c r="F11" s="90" t="n">
        <f>SUM(F8:F10)</f>
        <v>450000</v>
      </c>
      <c r="G11" s="90" t="n">
        <f>SUM(G8:G10)</f>
        <v>450000</v>
      </c>
      <c r="H11" s="90" t="n">
        <f>SUM(H8:H10)</f>
        <v>450000</v>
      </c>
      <c r="I11" s="20"/>
    </row>
    <row r="12">
      <c r="A12" s="20" t="str">
        <v>병사 평균 복무기간</v>
      </c>
      <c r="B12" s="20" t="str">
        <v>년</v>
      </c>
      <c r="C12" s="127" t="n">
        <f>Inputs!$C$8</f>
        <v>1.5</v>
      </c>
      <c r="D12" s="127" t="n">
        <f>Inputs!$C$8</f>
        <v>1.5</v>
      </c>
      <c r="E12" s="127" t="n">
        <f>Inputs!$C$8</f>
        <v>1.5</v>
      </c>
      <c r="F12" s="127" t="n">
        <f>Inputs!$C$8</f>
        <v>1.5</v>
      </c>
      <c r="G12" s="127" t="n">
        <f>Inputs!$C$8</f>
        <v>1.5</v>
      </c>
      <c r="H12" s="127" t="n">
        <f>Inputs!$C$8</f>
        <v>1.5</v>
      </c>
      <c r="I12" s="20"/>
    </row>
    <row r="13">
      <c r="A13" s="20" t="str">
        <v>장교 평균 재직기간</v>
      </c>
      <c r="B13" s="20" t="str">
        <v>년</v>
      </c>
      <c r="C13" s="90" t="n">
        <f>Inputs!$C$9</f>
        <v>10</v>
      </c>
      <c r="D13" s="90" t="n">
        <f>Inputs!$C$9</f>
        <v>10</v>
      </c>
      <c r="E13" s="90" t="n">
        <f>Inputs!$C$9</f>
        <v>10</v>
      </c>
      <c r="F13" s="90" t="n">
        <f>Inputs!$C$9</f>
        <v>10</v>
      </c>
      <c r="G13" s="90" t="n">
        <f>Inputs!$C$9</f>
        <v>10</v>
      </c>
      <c r="H13" s="90" t="n">
        <f>Inputs!$C$9</f>
        <v>10</v>
      </c>
      <c r="I13" s="20"/>
    </row>
    <row r="14">
      <c r="A14" s="20" t="str">
        <v>부사관 평균 재직기간</v>
      </c>
      <c r="B14" s="20" t="str">
        <v>년</v>
      </c>
      <c r="C14" s="90" t="n">
        <f>Inputs!$C$10</f>
        <v>12</v>
      </c>
      <c r="D14" s="90" t="n">
        <f>Inputs!$C$10</f>
        <v>12</v>
      </c>
      <c r="E14" s="90" t="n">
        <f>Inputs!$C$10</f>
        <v>12</v>
      </c>
      <c r="F14" s="90" t="n">
        <f>Inputs!$C$10</f>
        <v>12</v>
      </c>
      <c r="G14" s="90" t="n">
        <f>Inputs!$C$10</f>
        <v>12</v>
      </c>
      <c r="H14" s="90" t="n">
        <f>Inputs!$C$10</f>
        <v>12</v>
      </c>
      <c r="I14" s="20"/>
    </row>
    <row r="15">
      <c r="A15" s="20" t="str">
        <v>연간 신규 병사</v>
      </c>
      <c r="B15" s="20" t="str">
        <v>명/년</v>
      </c>
      <c r="C15" s="90" t="n">
        <f>Inputs!$C$11</f>
        <v>180000</v>
      </c>
      <c r="D15" s="90" t="n">
        <f>Inputs!$C$11</f>
        <v>180000</v>
      </c>
      <c r="E15" s="90" t="n">
        <f>Inputs!$C$11</f>
        <v>180000</v>
      </c>
      <c r="F15" s="90" t="n">
        <f>Inputs!$C$11</f>
        <v>180000</v>
      </c>
      <c r="G15" s="90" t="n">
        <f>Inputs!$C$11</f>
        <v>180000</v>
      </c>
      <c r="H15" s="90" t="n">
        <f>Inputs!$C$11</f>
        <v>180000</v>
      </c>
      <c r="I15" s="20"/>
    </row>
    <row r="16">
      <c r="A16" s="20" t="str">
        <v>연간 신규 장교</v>
      </c>
      <c r="B16" s="20" t="str">
        <v>명/년</v>
      </c>
      <c r="C16" s="90" t="n">
        <f>Inputs!$C$12</f>
        <v>7000</v>
      </c>
      <c r="D16" s="90" t="n">
        <f>Inputs!$C$12</f>
        <v>7000</v>
      </c>
      <c r="E16" s="90" t="n">
        <f>Inputs!$C$12</f>
        <v>7000</v>
      </c>
      <c r="F16" s="90" t="n">
        <f>Inputs!$C$12</f>
        <v>7000</v>
      </c>
      <c r="G16" s="90" t="n">
        <f>Inputs!$C$12</f>
        <v>7000</v>
      </c>
      <c r="H16" s="90" t="n">
        <f>Inputs!$C$12</f>
        <v>7000</v>
      </c>
      <c r="I16" s="20"/>
    </row>
    <row r="17">
      <c r="A17" s="20" t="str">
        <v>연간 신규 부사관</v>
      </c>
      <c r="B17" s="20" t="str">
        <v>명/년</v>
      </c>
      <c r="C17" s="90" t="n">
        <f>Inputs!$C$13</f>
        <v>9167</v>
      </c>
      <c r="D17" s="90" t="n">
        <f>Inputs!$C$13</f>
        <v>9167</v>
      </c>
      <c r="E17" s="90" t="n">
        <f>Inputs!$C$13</f>
        <v>9167</v>
      </c>
      <c r="F17" s="90" t="n">
        <f>Inputs!$C$13</f>
        <v>9167</v>
      </c>
      <c r="G17" s="90" t="n">
        <f>Inputs!$C$13</f>
        <v>9167</v>
      </c>
      <c r="H17" s="90" t="n">
        <f>Inputs!$C$13</f>
        <v>9167</v>
      </c>
      <c r="I17" s="20"/>
    </row>
    <row r="18">
      <c r="A18" s="20" t="str">
        <v>병사 신규 보급률</v>
      </c>
      <c r="B18" s="20" t="str">
        <v>%</v>
      </c>
      <c r="C18" s="91" t="n">
        <f>Inputs!$I$5</f>
        <v>0.2</v>
      </c>
      <c r="D18" s="91" t="n">
        <f>Inputs!$J$5</f>
        <v>0.4</v>
      </c>
      <c r="E18" s="91" t="n">
        <f>Inputs!$K$5</f>
        <v>0.6</v>
      </c>
      <c r="F18" s="91" t="n">
        <f>Inputs!$L$5</f>
        <v>0.8</v>
      </c>
      <c r="G18" s="91" t="n">
        <f>Inputs!$M$5</f>
        <v>1</v>
      </c>
      <c r="H18" s="91" t="n">
        <f>Inputs!$N$5</f>
        <v>1</v>
      </c>
      <c r="I18" s="20"/>
    </row>
    <row r="19">
      <c r="A19" s="20" t="str">
        <v>장교 신규 보급률</v>
      </c>
      <c r="B19" s="20" t="str">
        <v>%</v>
      </c>
      <c r="C19" s="91" t="n">
        <f>Inputs!$I$6</f>
        <v>0.2</v>
      </c>
      <c r="D19" s="91" t="n">
        <f>Inputs!$J$6</f>
        <v>0.4</v>
      </c>
      <c r="E19" s="91" t="n">
        <f>Inputs!$K$6</f>
        <v>0.6</v>
      </c>
      <c r="F19" s="91" t="n">
        <f>Inputs!$L$6</f>
        <v>0.8</v>
      </c>
      <c r="G19" s="91" t="n">
        <f>Inputs!$M$6</f>
        <v>1</v>
      </c>
      <c r="H19" s="91" t="n">
        <f>Inputs!$N$6</f>
        <v>1</v>
      </c>
      <c r="I19" s="20"/>
    </row>
    <row r="20">
      <c r="A20" s="20" t="str">
        <v>부사관 신규 보급률</v>
      </c>
      <c r="B20" s="20" t="str">
        <v>%</v>
      </c>
      <c r="C20" s="91" t="n">
        <f>Inputs!$I$7</f>
        <v>0.2</v>
      </c>
      <c r="D20" s="91" t="n">
        <f>Inputs!$J$7</f>
        <v>0.4</v>
      </c>
      <c r="E20" s="91" t="n">
        <f>Inputs!$K$7</f>
        <v>0.6</v>
      </c>
      <c r="F20" s="91" t="n">
        <f>Inputs!$L$7</f>
        <v>0.8</v>
      </c>
      <c r="G20" s="91" t="n">
        <f>Inputs!$M$7</f>
        <v>1</v>
      </c>
      <c r="H20" s="91" t="n">
        <f>Inputs!$N$7</f>
        <v>1</v>
      </c>
      <c r="I20" s="20"/>
    </row>
    <row r="21">
      <c r="A21" s="20" t="str">
        <v>병사 신규 보급 수량</v>
      </c>
      <c r="B21" s="20" t="str">
        <v>개</v>
      </c>
      <c r="C21" s="90" t="n">
        <f>ROUNDUP(C15*C18,0)</f>
        <v>36000</v>
      </c>
      <c r="D21" s="90" t="n">
        <f>ROUNDUP(D15*D18,0)</f>
        <v>72000</v>
      </c>
      <c r="E21" s="90" t="n">
        <f>ROUNDUP(E15*E18,0)</f>
        <v>108000</v>
      </c>
      <c r="F21" s="90" t="n">
        <f>ROUNDUP(F15*F18,0)</f>
        <v>144000</v>
      </c>
      <c r="G21" s="90" t="n">
        <f>ROUNDUP(G15*G18,0)</f>
        <v>180000</v>
      </c>
      <c r="H21" s="90" t="n">
        <f>ROUNDUP(H15*H18,0)</f>
        <v>180000</v>
      </c>
      <c r="I21" s="20"/>
    </row>
    <row r="22">
      <c r="A22" s="20" t="str">
        <v>장교 신규 보급 수량</v>
      </c>
      <c r="B22" s="20" t="str">
        <v>개</v>
      </c>
      <c r="C22" s="90" t="n">
        <f>ROUNDUP(C16*C19,0)</f>
        <v>1400</v>
      </c>
      <c r="D22" s="90" t="n">
        <f>ROUNDUP(D16*D19,0)</f>
        <v>2800</v>
      </c>
      <c r="E22" s="90" t="n">
        <f>ROUNDUP(E16*E19,0)</f>
        <v>4200</v>
      </c>
      <c r="F22" s="90" t="n">
        <f>ROUNDUP(F16*F19,0)</f>
        <v>5600</v>
      </c>
      <c r="G22" s="90" t="n">
        <f>ROUNDUP(G16*G19,0)</f>
        <v>7000</v>
      </c>
      <c r="H22" s="90" t="n">
        <f>ROUNDUP(H16*H19,0)</f>
        <v>7000</v>
      </c>
      <c r="I22" s="20"/>
    </row>
    <row r="23">
      <c r="A23" s="20" t="str">
        <v>부사관 신규 보급 수량</v>
      </c>
      <c r="B23" s="20" t="str">
        <v>개</v>
      </c>
      <c r="C23" s="90" t="n">
        <f>ROUNDUP(C17*C20,0)</f>
        <v>1834</v>
      </c>
      <c r="D23" s="90" t="n">
        <f>ROUNDUP(D17*D20,0)</f>
        <v>3667</v>
      </c>
      <c r="E23" s="90" t="n">
        <f>ROUNDUP(E17*E20,0)</f>
        <v>5501</v>
      </c>
      <c r="F23" s="90" t="n">
        <f>ROUNDUP(F17*F20,0)</f>
        <v>7334</v>
      </c>
      <c r="G23" s="90" t="n">
        <f>ROUNDUP(G17*G20,0)</f>
        <v>9167</v>
      </c>
      <c r="H23" s="90" t="n">
        <f>ROUNDUP(H17*H20,0)</f>
        <v>9167</v>
      </c>
      <c r="I23" s="20"/>
    </row>
    <row r="24">
      <c r="A24" s="94" t="str">
        <v>신규 인식표 보급 합계</v>
      </c>
      <c r="B24" s="94" t="str">
        <v>개</v>
      </c>
      <c r="C24" s="95" t="n">
        <f>SUM(C21:C23)</f>
        <v>39234</v>
      </c>
      <c r="D24" s="95" t="n">
        <f>SUM(D21:D23)</f>
        <v>78467</v>
      </c>
      <c r="E24" s="95" t="n">
        <f>SUM(E21:E23)</f>
        <v>117701</v>
      </c>
      <c r="F24" s="95" t="n">
        <f>SUM(F21:F23)</f>
        <v>156934</v>
      </c>
      <c r="G24" s="95" t="n">
        <f>SUM(G21:G23)</f>
        <v>196167</v>
      </c>
      <c r="H24" s="95" t="n">
        <f>SUM(H21:H23)</f>
        <v>196167</v>
      </c>
      <c r="I24" s="94"/>
    </row>
    <row r="25">
      <c r="A25" s="20" t="str">
        <v>활성 보급 병사 수</v>
      </c>
      <c r="B25" s="20" t="str">
        <v>명</v>
      </c>
      <c r="C25" s="90" t="n">
        <f>C21</f>
        <v>36000</v>
      </c>
      <c r="D25" s="90" t="n">
        <f>D21+0.5*C21</f>
        <v>90000</v>
      </c>
      <c r="E25" s="90" t="n">
        <f>E21+0.5*D21</f>
        <v>144000</v>
      </c>
      <c r="F25" s="90" t="n">
        <f>F21+0.5*E21</f>
        <v>198000</v>
      </c>
      <c r="G25" s="90" t="n">
        <f>G21+0.5*F21</f>
        <v>252000</v>
      </c>
      <c r="H25" s="90" t="n">
        <f>Inputs!$C$5</f>
        <v>270000</v>
      </c>
      <c r="I25" s="20"/>
    </row>
    <row r="26">
      <c r="A26" s="20" t="str">
        <v>활성 보급 장교 수</v>
      </c>
      <c r="B26" s="20" t="str">
        <v>명</v>
      </c>
      <c r="C26" s="90" t="n">
        <f>C22</f>
        <v>1400</v>
      </c>
      <c r="D26" s="90" t="n">
        <f>C26+D22</f>
        <v>4200</v>
      </c>
      <c r="E26" s="90" t="n">
        <f>D26+E22</f>
        <v>8400</v>
      </c>
      <c r="F26" s="90" t="n">
        <f>E26+F22</f>
        <v>14000</v>
      </c>
      <c r="G26" s="90" t="n">
        <f>F26+G22</f>
        <v>21000</v>
      </c>
      <c r="H26" s="90" t="n">
        <f>Inputs!$C$6</f>
        <v>70000</v>
      </c>
      <c r="I26" s="20"/>
    </row>
    <row r="27">
      <c r="A27" s="20" t="str">
        <v>활성 보급 부사관 수</v>
      </c>
      <c r="B27" s="20" t="str">
        <v>명</v>
      </c>
      <c r="C27" s="90" t="n">
        <f>C23</f>
        <v>1834</v>
      </c>
      <c r="D27" s="90" t="n">
        <f>C27+D23</f>
        <v>5501</v>
      </c>
      <c r="E27" s="90" t="n">
        <f>D27+E23</f>
        <v>11002</v>
      </c>
      <c r="F27" s="90" t="n">
        <f>E27+F23</f>
        <v>18336</v>
      </c>
      <c r="G27" s="90" t="n">
        <f>F27+G23</f>
        <v>27503</v>
      </c>
      <c r="H27" s="90" t="n">
        <f>Inputs!$C$7</f>
        <v>110000</v>
      </c>
      <c r="I27" s="20"/>
    </row>
    <row r="28">
      <c r="A28" s="20" t="str">
        <v>기말 활성 보급 인원</v>
      </c>
      <c r="B28" s="20" t="str">
        <v>명</v>
      </c>
      <c r="C28" s="90" t="n">
        <f>SUM(C25:C27)</f>
        <v>39234</v>
      </c>
      <c r="D28" s="90" t="n">
        <f>SUM(D25:D27)</f>
        <v>99701</v>
      </c>
      <c r="E28" s="90" t="n">
        <f>SUM(E25:E27)</f>
        <v>163402</v>
      </c>
      <c r="F28" s="90" t="n">
        <f>SUM(F25:F27)</f>
        <v>230336</v>
      </c>
      <c r="G28" s="90" t="n">
        <f>SUM(G25:G27)</f>
        <v>300503</v>
      </c>
      <c r="H28" s="90" t="n">
        <f>SUM(H25:H27)</f>
        <v>450000</v>
      </c>
      <c r="I28" s="20"/>
    </row>
    <row r="29">
      <c r="A29" s="20" t="str">
        <v>인식표 파손 교체율</v>
      </c>
      <c r="B29" s="20" t="str">
        <v>%</v>
      </c>
      <c r="C29" s="91" t="n">
        <f>Inputs!$C$16</f>
        <v>0.1</v>
      </c>
      <c r="D29" s="91" t="n">
        <f>Inputs!$C$16</f>
        <v>0.1</v>
      </c>
      <c r="E29" s="91" t="n">
        <f>Inputs!$C$16</f>
        <v>0.1</v>
      </c>
      <c r="F29" s="91" t="n">
        <f>Inputs!$C$16</f>
        <v>0.1</v>
      </c>
      <c r="G29" s="91" t="n">
        <f>Inputs!$C$16</f>
        <v>0.1</v>
      </c>
      <c r="H29" s="91" t="n">
        <f>Inputs!$C$16</f>
        <v>0.1</v>
      </c>
      <c r="I29" s="20"/>
    </row>
    <row r="30">
      <c r="A30" s="94" t="str">
        <v>인식표 파손 교체 수량</v>
      </c>
      <c r="B30" s="94" t="str">
        <v>개</v>
      </c>
      <c r="C30" s="95" t="n">
        <f>0</f>
        <v>0</v>
      </c>
      <c r="D30" s="95" t="n">
        <f>ROUNDUP(C28*D29,0)</f>
        <v>3924</v>
      </c>
      <c r="E30" s="95" t="n">
        <f>ROUNDUP(D28*E29,0)</f>
        <v>9971</v>
      </c>
      <c r="F30" s="95" t="n">
        <f>ROUNDUP(E28*F29,0)</f>
        <v>16341</v>
      </c>
      <c r="G30" s="95" t="n">
        <f>ROUNDUP(F28*G29,0)</f>
        <v>23034</v>
      </c>
      <c r="H30" s="95" t="n">
        <f>ROUNDUP(H28*H29,0)</f>
        <v>45000</v>
      </c>
      <c r="I30" s="94"/>
    </row>
    <row r="31">
      <c r="A31" s="20" t="str">
        <v>NFC 인식표 총 납품 수량</v>
      </c>
      <c r="B31" s="20" t="str">
        <v>개</v>
      </c>
      <c r="C31" s="90" t="n">
        <f>C24+C30</f>
        <v>39234</v>
      </c>
      <c r="D31" s="90" t="n">
        <f>D24+D30</f>
        <v>82391</v>
      </c>
      <c r="E31" s="90" t="n">
        <f>E24+E30</f>
        <v>127672</v>
      </c>
      <c r="F31" s="90" t="n">
        <f>F24+F30</f>
        <v>173275</v>
      </c>
      <c r="G31" s="90" t="n">
        <f>G24+G30</f>
        <v>219201</v>
      </c>
      <c r="H31" s="90" t="n">
        <f>H24+H30</f>
        <v>241167</v>
      </c>
      <c r="I31" s="20"/>
    </row>
    <row r="32">
      <c r="A32" s="20" t="str">
        <v>인식표/인식기 비율</v>
      </c>
      <c r="B32" s="20" t="str">
        <v>개/대</v>
      </c>
      <c r="C32" s="90" t="n">
        <f>Inputs!$C$14</f>
        <v>30</v>
      </c>
      <c r="D32" s="90" t="n">
        <f>Inputs!$C$14</f>
        <v>30</v>
      </c>
      <c r="E32" s="90" t="n">
        <f>Inputs!$C$14</f>
        <v>30</v>
      </c>
      <c r="F32" s="90" t="n">
        <f>Inputs!$C$14</f>
        <v>30</v>
      </c>
      <c r="G32" s="90" t="n">
        <f>Inputs!$C$14</f>
        <v>30</v>
      </c>
      <c r="H32" s="90" t="n">
        <f>Inputs!$C$14</f>
        <v>30</v>
      </c>
      <c r="I32" s="20"/>
    </row>
    <row r="33">
      <c r="A33" s="20" t="str">
        <v>기말 운용 인식기 수</v>
      </c>
      <c r="B33" s="20" t="str">
        <v>대</v>
      </c>
      <c r="C33" s="90" t="n">
        <f>MIN(Inputs!$C$15,ROUNDUP(C28/C32,0))</f>
        <v>1308</v>
      </c>
      <c r="D33" s="90" t="n">
        <f>MIN(Inputs!$C$15,ROUNDUP(D28/D32,0))</f>
        <v>3324</v>
      </c>
      <c r="E33" s="90" t="n">
        <f>MIN(Inputs!$C$15,ROUNDUP(E28/E32,0))</f>
        <v>5447</v>
      </c>
      <c r="F33" s="90" t="n">
        <f>MIN(Inputs!$C$15,ROUNDUP(F28/F32,0))</f>
        <v>7678</v>
      </c>
      <c r="G33" s="90" t="n">
        <f>MIN(Inputs!$C$15,ROUNDUP(G28/G32,0))</f>
        <v>10017</v>
      </c>
      <c r="H33" s="90" t="n">
        <f>MIN(Inputs!$C$15,ROUNDUP(H28/H32,0))</f>
        <v>15000</v>
      </c>
      <c r="I33" s="20"/>
    </row>
    <row r="34">
      <c r="A34" s="20" t="str">
        <v>인식기 파손 교체율</v>
      </c>
      <c r="B34" s="20" t="str">
        <v>%</v>
      </c>
      <c r="C34" s="91" t="n">
        <f>Inputs!$C$17</f>
        <v>0.2</v>
      </c>
      <c r="D34" s="91" t="n">
        <f>Inputs!$C$17</f>
        <v>0.2</v>
      </c>
      <c r="E34" s="91" t="n">
        <f>Inputs!$C$17</f>
        <v>0.2</v>
      </c>
      <c r="F34" s="91" t="n">
        <f>Inputs!$C$17</f>
        <v>0.2</v>
      </c>
      <c r="G34" s="91" t="n">
        <f>Inputs!$C$17</f>
        <v>0.2</v>
      </c>
      <c r="H34" s="91" t="n">
        <f>Inputs!$C$17</f>
        <v>0.2</v>
      </c>
      <c r="I34" s="20"/>
    </row>
    <row r="35">
      <c r="A35" s="20" t="str">
        <v>인식기 파손 교체 수량</v>
      </c>
      <c r="B35" s="20" t="str">
        <v>대</v>
      </c>
      <c r="C35" s="90" t="n">
        <f>0</f>
        <v>0</v>
      </c>
      <c r="D35" s="90" t="n">
        <f>ROUNDUP(C33*D34,0)</f>
        <v>262</v>
      </c>
      <c r="E35" s="90" t="n">
        <f>ROUNDUP(D33*E34,0)</f>
        <v>665</v>
      </c>
      <c r="F35" s="90" t="n">
        <f>ROUNDUP(E33*F34,0)</f>
        <v>1090</v>
      </c>
      <c r="G35" s="90" t="n">
        <f>ROUNDUP(F33*G34,0)</f>
        <v>1536</v>
      </c>
      <c r="H35" s="90" t="n">
        <f>ROUNDUP(H33*H34,0)</f>
        <v>3000</v>
      </c>
      <c r="I35" s="20"/>
    </row>
    <row r="36">
      <c r="A36" s="20" t="str">
        <v>NFC 인식기 총 납품 수량</v>
      </c>
      <c r="B36" s="20" t="str">
        <v>대</v>
      </c>
      <c r="C36" s="90" t="n">
        <f>C33+C35</f>
        <v>1308</v>
      </c>
      <c r="D36" s="90" t="n">
        <f>MAX(0,D33-C33)+D35</f>
        <v>2278</v>
      </c>
      <c r="E36" s="90" t="n">
        <f>MAX(0,E33-D33)+E35</f>
        <v>2788</v>
      </c>
      <c r="F36" s="90" t="n">
        <f>MAX(0,F33-E33)+F35</f>
        <v>3321</v>
      </c>
      <c r="G36" s="90" t="n">
        <f>MAX(0,G33-F33)+G35</f>
        <v>3875</v>
      </c>
      <c r="H36" s="90" t="n">
        <f>H35</f>
        <v>3000</v>
      </c>
      <c r="I36" s="20"/>
    </row>
    <row r="37">
      <c r="A37" s="20"/>
      <c r="B37" s="20"/>
      <c r="C37" s="20"/>
      <c r="D37" s="20"/>
      <c r="E37" s="20"/>
      <c r="F37" s="20"/>
      <c r="G37" s="20"/>
      <c r="H37" s="20"/>
      <c r="I37" s="20"/>
    </row>
    <row r="38">
      <c r="A38" s="20"/>
      <c r="B38" s="20"/>
      <c r="C38" s="20"/>
      <c r="D38" s="20"/>
      <c r="E38" s="20"/>
      <c r="F38" s="20"/>
      <c r="G38" s="20"/>
      <c r="H38" s="20"/>
      <c r="I38" s="20"/>
    </row>
    <row r="39">
      <c r="A39" s="89" t="str">
        <v>매출</v>
      </c>
      <c r="B39" s="89"/>
      <c r="C39" s="89"/>
      <c r="D39" s="89"/>
      <c r="E39" s="89"/>
      <c r="F39" s="89"/>
      <c r="G39" s="89"/>
      <c r="H39" s="89"/>
      <c r="I39" s="89"/>
    </row>
    <row r="40">
      <c r="A40" s="20" t="str">
        <v>NFC 인식표 매출</v>
      </c>
      <c r="B40" s="20" t="str">
        <v>원</v>
      </c>
      <c r="C40" s="93" t="n">
        <f>C31*Inputs!$C$18</f>
        <v>117702000</v>
      </c>
      <c r="D40" s="93" t="n">
        <f>D31*Inputs!$C$18</f>
        <v>247173000</v>
      </c>
      <c r="E40" s="93" t="n">
        <f>E31*Inputs!$C$18</f>
        <v>383016000</v>
      </c>
      <c r="F40" s="93" t="n">
        <f>F31*Inputs!$C$18</f>
        <v>519825000</v>
      </c>
      <c r="G40" s="93" t="n">
        <f>G31*Inputs!$C$18</f>
        <v>657603000</v>
      </c>
      <c r="H40" s="93" t="n">
        <f>H31*Inputs!$C$18</f>
        <v>723501000</v>
      </c>
      <c r="I40" s="20"/>
    </row>
    <row r="41">
      <c r="A41" s="20" t="str">
        <v>NFC 인식기 매출</v>
      </c>
      <c r="B41" s="20" t="str">
        <v>원</v>
      </c>
      <c r="C41" s="93" t="n">
        <f>C36*Inputs!$C$19</f>
        <v>65400000</v>
      </c>
      <c r="D41" s="93" t="n">
        <f>D36*Inputs!$C$19</f>
        <v>113900000</v>
      </c>
      <c r="E41" s="93" t="n">
        <f>E36*Inputs!$C$19</f>
        <v>139400000</v>
      </c>
      <c r="F41" s="93" t="n">
        <f>F36*Inputs!$C$19</f>
        <v>166050000</v>
      </c>
      <c r="G41" s="93" t="n">
        <f>G36*Inputs!$C$19</f>
        <v>193750000</v>
      </c>
      <c r="H41" s="93" t="n">
        <f>H36*Inputs!$C$19</f>
        <v>150000000</v>
      </c>
      <c r="I41" s="20"/>
    </row>
    <row r="42">
      <c r="A42" s="20" t="str">
        <v>군 보안 프로그램 라이선스 매출</v>
      </c>
      <c r="B42" s="20" t="str">
        <v>원</v>
      </c>
      <c r="C42" s="93" t="n">
        <f>C33*Inputs!$C$20</f>
        <v>366240000</v>
      </c>
      <c r="D42" s="93" t="n">
        <f>D33*Inputs!$C$20</f>
        <v>930720000</v>
      </c>
      <c r="E42" s="93" t="n">
        <f>E33*Inputs!$C$20</f>
        <v>1525160000</v>
      </c>
      <c r="F42" s="93" t="n">
        <f>F33*Inputs!$C$20</f>
        <v>2149840000</v>
      </c>
      <c r="G42" s="93" t="n">
        <f>G33*Inputs!$C$20</f>
        <v>2804760000</v>
      </c>
      <c r="H42" s="93" t="n">
        <f>H33*Inputs!$C$20</f>
        <v>4200000000</v>
      </c>
      <c r="I42" s="20"/>
    </row>
    <row r="43">
      <c r="A43" s="20" t="str">
        <v>SaaS 플랫폼 매출</v>
      </c>
      <c r="B43" s="20" t="str">
        <v>원</v>
      </c>
      <c r="C43" s="93" t="n">
        <f>C33*Inputs!$C$21</f>
        <v>130800000</v>
      </c>
      <c r="D43" s="93" t="n">
        <f>D33*Inputs!$C$21</f>
        <v>332400000</v>
      </c>
      <c r="E43" s="93" t="n">
        <f>E33*Inputs!$C$21</f>
        <v>544700000</v>
      </c>
      <c r="F43" s="93" t="n">
        <f>F33*Inputs!$C$21</f>
        <v>767800000</v>
      </c>
      <c r="G43" s="93" t="n">
        <f>G33*Inputs!$C$21</f>
        <v>1001700000</v>
      </c>
      <c r="H43" s="93" t="n">
        <f>H33*Inputs!$C$21</f>
        <v>1500000000</v>
      </c>
      <c r="I43" s="20"/>
    </row>
    <row r="44">
      <c r="A44" s="20" t="str">
        <v>유지보수/펌웨어 매출</v>
      </c>
      <c r="B44" s="20" t="str">
        <v>원</v>
      </c>
      <c r="C44" s="93" t="n">
        <f>(C40+C41)*Inputs!$C$22</f>
        <v>21972240</v>
      </c>
      <c r="D44" s="93" t="n">
        <f>(D40+D41)*Inputs!$C$22</f>
        <v>43328760</v>
      </c>
      <c r="E44" s="93" t="n">
        <f>(E40+E41)*Inputs!$C$22</f>
        <v>62689920</v>
      </c>
      <c r="F44" s="93" t="n">
        <f>(F40+F41)*Inputs!$C$22</f>
        <v>82305000</v>
      </c>
      <c r="G44" s="93" t="n">
        <f>(G40+G41)*Inputs!$C$22</f>
        <v>102162360</v>
      </c>
      <c r="H44" s="93" t="n">
        <f>(H40+H41)*Inputs!$C$22</f>
        <v>104820120</v>
      </c>
      <c r="I44" s="20"/>
    </row>
    <row r="45">
      <c r="A45" s="94" t="str">
        <v>총매출</v>
      </c>
      <c r="B45" s="94" t="str">
        <v>원</v>
      </c>
      <c r="C45" s="95" t="n">
        <f>SUM(C40:C44)</f>
        <v>702114240</v>
      </c>
      <c r="D45" s="95" t="n">
        <f>SUM(D40:D44)</f>
        <v>1667521760</v>
      </c>
      <c r="E45" s="95" t="n">
        <f>SUM(E40:E44)</f>
        <v>2654965920</v>
      </c>
      <c r="F45" s="95" t="n">
        <f>SUM(F40:F44)</f>
        <v>3685820000</v>
      </c>
      <c r="G45" s="95" t="n">
        <f>SUM(G40:G44)</f>
        <v>4759975360</v>
      </c>
      <c r="H45" s="95" t="n">
        <f>SUM(H40:H44)</f>
        <v>6678321120</v>
      </c>
      <c r="I45" s="94"/>
    </row>
    <row r="46">
      <c r="A46" s="20"/>
      <c r="B46" s="20"/>
      <c r="C46" s="20"/>
      <c r="D46" s="20"/>
      <c r="E46" s="20"/>
      <c r="F46" s="20"/>
      <c r="G46" s="20"/>
      <c r="H46" s="20"/>
      <c r="I46" s="20"/>
    </row>
    <row r="47">
      <c r="A47" s="20"/>
      <c r="B47" s="20"/>
      <c r="C47" s="20"/>
      <c r="D47" s="20"/>
      <c r="E47" s="20"/>
      <c r="F47" s="20"/>
      <c r="G47" s="20"/>
      <c r="H47" s="20"/>
      <c r="I47" s="20"/>
    </row>
    <row r="48">
      <c r="A48" s="89" t="str">
        <v>매출원가</v>
      </c>
      <c r="B48" s="89"/>
      <c r="C48" s="89"/>
      <c r="D48" s="89"/>
      <c r="E48" s="89"/>
      <c r="F48" s="89"/>
      <c r="G48" s="89"/>
      <c r="H48" s="89"/>
      <c r="I48" s="89"/>
    </row>
    <row r="49">
      <c r="A49" s="20" t="str">
        <v>NFC 인식표 원가</v>
      </c>
      <c r="B49" s="20" t="str">
        <v>원</v>
      </c>
      <c r="C49" s="93" t="n">
        <f>C31*Inputs!$C$23</f>
        <v>47080800</v>
      </c>
      <c r="D49" s="93" t="n">
        <f>D31*Inputs!$C$23</f>
        <v>98869200</v>
      </c>
      <c r="E49" s="93" t="n">
        <f>E31*Inputs!$C$23</f>
        <v>153206400</v>
      </c>
      <c r="F49" s="93" t="n">
        <f>F31*Inputs!$C$23</f>
        <v>207930000</v>
      </c>
      <c r="G49" s="93" t="n">
        <f>G31*Inputs!$C$23</f>
        <v>263041200</v>
      </c>
      <c r="H49" s="93" t="n">
        <f>H31*Inputs!$C$23</f>
        <v>289400400</v>
      </c>
      <c r="I49" s="20"/>
    </row>
    <row r="50">
      <c r="A50" s="20" t="str">
        <v>NFC 인식기 원가</v>
      </c>
      <c r="B50" s="20" t="str">
        <v>원</v>
      </c>
      <c r="C50" s="93" t="n">
        <f>C36*Inputs!$C$24</f>
        <v>39240000</v>
      </c>
      <c r="D50" s="93" t="n">
        <f>D36*Inputs!$C$24</f>
        <v>68340000</v>
      </c>
      <c r="E50" s="93" t="n">
        <f>E36*Inputs!$C$24</f>
        <v>83640000</v>
      </c>
      <c r="F50" s="93" t="n">
        <f>F36*Inputs!$C$24</f>
        <v>99630000</v>
      </c>
      <c r="G50" s="93" t="n">
        <f>G36*Inputs!$C$24</f>
        <v>116250000</v>
      </c>
      <c r="H50" s="93" t="n">
        <f>H36*Inputs!$C$24</f>
        <v>90000000</v>
      </c>
      <c r="I50" s="20"/>
    </row>
    <row r="51">
      <c r="A51" s="20" t="str">
        <v>군 보안 프로그램 라이선스 원가</v>
      </c>
      <c r="B51" s="20" t="str">
        <v>원</v>
      </c>
      <c r="C51" s="93" t="n">
        <f>C42*Inputs!$C$25</f>
        <v>109872000</v>
      </c>
      <c r="D51" s="93" t="n">
        <f>D42*Inputs!$C$25</f>
        <v>279216000</v>
      </c>
      <c r="E51" s="93" t="n">
        <f>E42*Inputs!$C$25</f>
        <v>457548000</v>
      </c>
      <c r="F51" s="93" t="n">
        <f>F42*Inputs!$C$25</f>
        <v>644952000</v>
      </c>
      <c r="G51" s="93" t="n">
        <f>G42*Inputs!$C$25</f>
        <v>841428000</v>
      </c>
      <c r="H51" s="93" t="n">
        <f>H42*Inputs!$C$25</f>
        <v>1260000000</v>
      </c>
      <c r="I51" s="20"/>
    </row>
    <row r="52">
      <c r="A52" s="20" t="str">
        <v>SaaS 서버+AI 운영비</v>
      </c>
      <c r="B52" s="20" t="str">
        <v>원</v>
      </c>
      <c r="C52" s="93" t="n">
        <f>C33*Inputs!$C$26</f>
        <v>130800000</v>
      </c>
      <c r="D52" s="93" t="n">
        <f>D33*Inputs!$C$26</f>
        <v>332400000</v>
      </c>
      <c r="E52" s="93" t="n">
        <f>E33*Inputs!$C$26</f>
        <v>544700000</v>
      </c>
      <c r="F52" s="93" t="n">
        <f>F33*Inputs!$C$26</f>
        <v>767800000</v>
      </c>
      <c r="G52" s="93" t="n">
        <f>G33*Inputs!$C$26</f>
        <v>1001700000</v>
      </c>
      <c r="H52" s="93" t="n">
        <f>H33*Inputs!$C$26</f>
        <v>1500000000</v>
      </c>
      <c r="I52" s="20"/>
    </row>
    <row r="53">
      <c r="A53" s="94" t="str">
        <v>총 매출원가</v>
      </c>
      <c r="B53" s="94" t="str">
        <v>원</v>
      </c>
      <c r="C53" s="95" t="n">
        <f>SUM(C49:C52)</f>
        <v>326992800</v>
      </c>
      <c r="D53" s="95" t="n">
        <f>SUM(D49:D52)</f>
        <v>778825200</v>
      </c>
      <c r="E53" s="95" t="n">
        <f>SUM(E49:E52)</f>
        <v>1239094400</v>
      </c>
      <c r="F53" s="95" t="n">
        <f>SUM(F49:F52)</f>
        <v>1720312000</v>
      </c>
      <c r="G53" s="95" t="n">
        <f>SUM(G49:G52)</f>
        <v>2222419200</v>
      </c>
      <c r="H53" s="95" t="n">
        <f>SUM(H49:H52)</f>
        <v>3139400400</v>
      </c>
      <c r="I53" s="94"/>
    </row>
    <row r="54">
      <c r="A54" s="94" t="str">
        <v>매출총이익</v>
      </c>
      <c r="B54" s="94" t="str">
        <v>원</v>
      </c>
      <c r="C54" s="95" t="n">
        <f>C45-C53</f>
        <v>375121440</v>
      </c>
      <c r="D54" s="95" t="n">
        <f>D45-D53</f>
        <v>888696560</v>
      </c>
      <c r="E54" s="95" t="n">
        <f>E45-E53</f>
        <v>1415871520</v>
      </c>
      <c r="F54" s="95" t="n">
        <f>F45-F53</f>
        <v>1965508000</v>
      </c>
      <c r="G54" s="95" t="n">
        <f>G45-G53</f>
        <v>2537556160</v>
      </c>
      <c r="H54" s="95" t="n">
        <f>H45-H53</f>
        <v>3538920720</v>
      </c>
      <c r="I54" s="94"/>
    </row>
    <row r="55">
      <c r="A55" s="96" t="str">
        <v>매출총이익률</v>
      </c>
      <c r="B55" s="96" t="str">
        <v>%</v>
      </c>
      <c r="C55" s="91" t="n">
        <f>IFERROR(C54/C45,0)</f>
        <v>0.534274080525699</v>
      </c>
      <c r="D55" s="91" t="n">
        <f>IFERROR(D54/D45,0)</f>
        <v>0.5329445056237228</v>
      </c>
      <c r="E55" s="91" t="n">
        <f>IFERROR(E54/E45,0)</f>
        <v>0.5332917870373266</v>
      </c>
      <c r="F55" s="91" t="n">
        <f>IFERROR(F54/F45,0)</f>
        <v>0.5332620692274718</v>
      </c>
      <c r="G55" s="91" t="n">
        <f>IFERROR(G54/G45,0)</f>
        <v>0.5331027932043749</v>
      </c>
      <c r="H55" s="91" t="n">
        <f>IFERROR(H54/H45,0)</f>
        <v>0.5299117332650815</v>
      </c>
      <c r="I55" s="96"/>
    </row>
    <row r="56">
      <c r="A56" s="20"/>
      <c r="B56" s="20"/>
      <c r="C56" s="20"/>
      <c r="D56" s="20"/>
      <c r="E56" s="20"/>
      <c r="F56" s="20"/>
      <c r="G56" s="20"/>
      <c r="H56" s="20"/>
      <c r="I56" s="20"/>
    </row>
    <row r="57">
      <c r="A57" s="20"/>
      <c r="B57" s="20"/>
      <c r="C57" s="20"/>
      <c r="D57" s="20"/>
      <c r="E57" s="20"/>
      <c r="F57" s="20"/>
      <c r="G57" s="20"/>
      <c r="H57" s="20"/>
      <c r="I57" s="20"/>
    </row>
    <row r="58">
      <c r="A58" s="89" t="str">
        <v>판관비</v>
      </c>
      <c r="B58" s="89"/>
      <c r="C58" s="89"/>
      <c r="D58" s="89"/>
      <c r="E58" s="89"/>
      <c r="F58" s="89"/>
      <c r="G58" s="89"/>
      <c r="H58" s="89"/>
      <c r="I58" s="89"/>
    </row>
    <row r="59">
      <c r="A59" t="str" s="20">
        <v>FTE</v>
      </c>
      <c r="B59" t="str" s="20">
        <v>명</v>
      </c>
      <c r="C59" t="n" s="90">
        <f>Inputs!$I$8</f>
        <v>4</v>
      </c>
      <c r="D59" t="n" s="90">
        <f>Inputs!$J$8</f>
        <v>5</v>
      </c>
      <c r="E59" t="n" s="90">
        <f>Inputs!$K$8</f>
        <v>6</v>
      </c>
      <c r="F59" t="n" s="90">
        <f>Inputs!$L$8</f>
        <v>8</v>
      </c>
      <c r="G59" t="n" s="90">
        <f>Inputs!$M$8</f>
        <v>10</v>
      </c>
      <c r="H59" t="n" s="90">
        <f>Inputs!$N$8</f>
        <v>18</v>
      </c>
      <c r="I59" s="20"/>
    </row>
    <row r="60">
      <c r="A60" t="str" s="20">
        <v>인건비</v>
      </c>
      <c r="B60" t="str" s="20">
        <v>원</v>
      </c>
      <c r="C60" t="n" s="93">
        <f>C59*Inputs!$C$27</f>
        <v>280000000</v>
      </c>
      <c r="D60" t="n" s="93">
        <f>D59*Inputs!$C$27</f>
        <v>350000000</v>
      </c>
      <c r="E60" t="n" s="93">
        <f>E59*Inputs!$C$27</f>
        <v>420000000</v>
      </c>
      <c r="F60" t="n" s="93">
        <f>F59*Inputs!$C$27</f>
        <v>560000000</v>
      </c>
      <c r="G60" t="n" s="93">
        <f>G59*Inputs!$C$27</f>
        <v>700000000</v>
      </c>
      <c r="H60" t="n" s="93">
        <f>H59*Inputs!$C$27</f>
        <v>1260000000</v>
      </c>
      <c r="I60" s="20"/>
    </row>
    <row r="61">
      <c r="A61" t="str" s="20">
        <v>법인 운영비</v>
      </c>
      <c r="B61" t="str" s="20">
        <v>원</v>
      </c>
      <c r="C61" t="n" s="93">
        <f>Inputs!$C$28*(1+Inputs!$C$31)^0</f>
        <v>30000000</v>
      </c>
      <c r="D61" t="n" s="93">
        <f>Inputs!$C$28*(1+Inputs!$C$31)^1</f>
        <v>33000000.000000004</v>
      </c>
      <c r="E61" t="n" s="93">
        <f>Inputs!$C$28*(1+Inputs!$C$31)^2</f>
        <v>36300000.00000001</v>
      </c>
      <c r="F61" t="n" s="93">
        <f>Inputs!$C$28*(1+Inputs!$C$31)^3</f>
        <v>39930000.000000015</v>
      </c>
      <c r="G61" t="n" s="93">
        <f>Inputs!$C$28*(1+Inputs!$C$31)^4</f>
        <v>43923000.000000015</v>
      </c>
      <c r="H61" t="n" s="93">
        <f>Inputs!$C$28*(1+Inputs!$C$31)^9</f>
        <v>70738430.73000006</v>
      </c>
      <c r="I61" s="20"/>
    </row>
    <row r="62">
      <c r="A62" t="str" s="20">
        <v>마케팅비</v>
      </c>
      <c r="B62" t="str" s="20">
        <v>원</v>
      </c>
      <c r="C62" t="n" s="93">
        <f>Inputs!$C$29*(1+Inputs!$C$32)^0</f>
        <v>20000000</v>
      </c>
      <c r="D62" t="n" s="93">
        <f>Inputs!$C$29*(1+Inputs!$C$32)^1</f>
        <v>23000000</v>
      </c>
      <c r="E62" t="n" s="93">
        <f>Inputs!$C$29*(1+Inputs!$C$32)^2</f>
        <v>26449999.999999996</v>
      </c>
      <c r="F62" t="n" s="93">
        <f>Inputs!$C$29*(1+Inputs!$C$32)^3</f>
        <v>30417499.999999996</v>
      </c>
      <c r="G62" t="n" s="93">
        <f>Inputs!$C$29*(1+Inputs!$C$32)^4</f>
        <v>34980124.999999985</v>
      </c>
      <c r="H62" t="n" s="93">
        <f>Inputs!$C$29*(1+Inputs!$C$32)^9</f>
        <v>70357525.8383984</v>
      </c>
      <c r="I62" s="20"/>
    </row>
    <row r="63">
      <c r="A63" t="str" s="20">
        <v>기타 비용</v>
      </c>
      <c r="B63" t="str" s="20">
        <v>원</v>
      </c>
      <c r="C63" t="n" s="93">
        <f>Inputs!$C$30*(1+Inputs!$C$33)^0</f>
        <v>15000000</v>
      </c>
      <c r="D63" t="n" s="93">
        <f>Inputs!$C$30*(1+Inputs!$C$33)^1</f>
        <v>16500000.000000002</v>
      </c>
      <c r="E63" t="n" s="93">
        <f>Inputs!$C$30*(1+Inputs!$C$33)^2</f>
        <v>18150000.000000004</v>
      </c>
      <c r="F63" t="n" s="93">
        <f>Inputs!$C$30*(1+Inputs!$C$33)^3</f>
        <v>19965000.000000007</v>
      </c>
      <c r="G63" t="n" s="93">
        <f>Inputs!$C$30*(1+Inputs!$C$33)^4</f>
        <v>21961500.000000007</v>
      </c>
      <c r="H63" t="n" s="93">
        <f>Inputs!$C$30*(1+Inputs!$C$33)^9</f>
        <v>35369215.36500003</v>
      </c>
      <c r="I63" s="20"/>
    </row>
    <row r="64">
      <c r="A64" t="str" s="94">
        <v>총 고정비/판관비</v>
      </c>
      <c r="B64" t="str" s="94">
        <v>원</v>
      </c>
      <c r="C64" t="n" s="95">
        <f>SUM(C60:C63)</f>
        <v>345000000</v>
      </c>
      <c r="D64" t="n" s="95">
        <f>SUM(D60:D63)</f>
        <v>422500000</v>
      </c>
      <c r="E64" t="n" s="95">
        <f>SUM(E60:E63)</f>
        <v>500900000</v>
      </c>
      <c r="F64" t="n" s="95">
        <f>SUM(F60:F63)</f>
        <v>650312500</v>
      </c>
      <c r="G64" t="n" s="95">
        <f>SUM(G60:G63)</f>
        <v>800864625</v>
      </c>
      <c r="H64" t="n" s="95">
        <f>SUM(H60:H63)</f>
        <v>1436465171.9333985</v>
      </c>
      <c r="I64" s="94"/>
    </row>
    <row r="65">
      <c r="A65" s="20"/>
      <c r="B65" s="20"/>
      <c r="C65" s="20"/>
      <c r="D65" s="20"/>
      <c r="E65" s="20"/>
      <c r="F65" s="20"/>
      <c r="G65" s="20"/>
      <c r="H65" s="20"/>
      <c r="I65" s="20"/>
    </row>
    <row r="66">
      <c r="A66" s="20"/>
      <c r="B66" s="20"/>
      <c r="C66" s="20"/>
      <c r="D66" s="20"/>
      <c r="E66" s="20"/>
      <c r="F66" s="20"/>
      <c r="G66" s="20"/>
      <c r="H66" s="20"/>
      <c r="I66" s="20"/>
    </row>
    <row r="67">
      <c r="A67" s="89" t="str">
        <v>손익계산서</v>
      </c>
      <c r="B67" s="89"/>
      <c r="C67" s="89"/>
      <c r="D67" s="89"/>
      <c r="E67" s="89"/>
      <c r="F67" s="89"/>
      <c r="G67" s="89"/>
      <c r="H67" s="89"/>
      <c r="I67" s="89"/>
    </row>
    <row r="68">
      <c r="A68" t="str" s="20">
        <v>총매출</v>
      </c>
      <c r="B68" t="str" s="20">
        <v>원</v>
      </c>
      <c r="C68" t="n" s="93">
        <f>C45</f>
        <v>702114240</v>
      </c>
      <c r="D68" t="n" s="93">
        <f>D45</f>
        <v>1667521760</v>
      </c>
      <c r="E68" t="n" s="93">
        <f>E45</f>
        <v>2654965920</v>
      </c>
      <c r="F68" t="n" s="93">
        <f>F45</f>
        <v>3685820000</v>
      </c>
      <c r="G68" t="n" s="93">
        <f>G45</f>
        <v>4759975360</v>
      </c>
      <c r="H68" t="n" s="93">
        <f>H45</f>
        <v>6678321120</v>
      </c>
      <c r="I68" s="20"/>
    </row>
    <row r="69">
      <c r="A69" t="str" s="20">
        <v>매출총이익</v>
      </c>
      <c r="B69" t="str" s="20">
        <v>원</v>
      </c>
      <c r="C69" t="n" s="93">
        <f>C54</f>
        <v>375121440</v>
      </c>
      <c r="D69" t="n" s="93">
        <f>D54</f>
        <v>888696560</v>
      </c>
      <c r="E69" t="n" s="93">
        <f>E54</f>
        <v>1415871520</v>
      </c>
      <c r="F69" t="n" s="93">
        <f>F54</f>
        <v>1965508000</v>
      </c>
      <c r="G69" t="n" s="93">
        <f>G54</f>
        <v>2537556160</v>
      </c>
      <c r="H69" t="n" s="93">
        <f>H54</f>
        <v>3538920720</v>
      </c>
      <c r="I69" s="20"/>
    </row>
    <row r="70">
      <c r="A70" t="str" s="20">
        <v>총 고정비/판관비</v>
      </c>
      <c r="B70" t="str" s="20">
        <v>원</v>
      </c>
      <c r="C70" t="n" s="93">
        <f>C64</f>
        <v>345000000</v>
      </c>
      <c r="D70" t="n" s="93">
        <f>D64</f>
        <v>422500000</v>
      </c>
      <c r="E70" t="n" s="93">
        <f>E64</f>
        <v>500900000</v>
      </c>
      <c r="F70" t="n" s="93">
        <f>F64</f>
        <v>650312500</v>
      </c>
      <c r="G70" t="n" s="93">
        <f>G64</f>
        <v>800864625</v>
      </c>
      <c r="H70" t="n" s="93">
        <f>H64</f>
        <v>1436465171.9333985</v>
      </c>
      <c r="I70" s="20"/>
    </row>
    <row r="71">
      <c r="A71" t="str" s="20">
        <v>영업이익</v>
      </c>
      <c r="B71" t="str" s="20">
        <v>원</v>
      </c>
      <c r="C71" t="n" s="93">
        <f>C69-C70</f>
        <v>30121440</v>
      </c>
      <c r="D71" t="n" s="93">
        <f>D69-D70</f>
        <v>466196560</v>
      </c>
      <c r="E71" t="n" s="93">
        <f>E69-E70</f>
        <v>914971520</v>
      </c>
      <c r="F71" t="n" s="93">
        <f>F69-F70</f>
        <v>1315195500</v>
      </c>
      <c r="G71" t="n" s="93">
        <f>G69-G70</f>
        <v>1736691535</v>
      </c>
      <c r="H71" t="n" s="93">
        <f>H69-H70</f>
        <v>2102455548.0666015</v>
      </c>
      <c r="I71" s="20"/>
    </row>
    <row r="72">
      <c r="A72" t="str" s="20">
        <v>법인세</v>
      </c>
      <c r="B72" t="str" s="20">
        <v>원</v>
      </c>
      <c r="C72" t="n" s="93">
        <f>MAX(0,C71*Inputs!$C$34)</f>
        <v>6024288</v>
      </c>
      <c r="D72" t="n" s="93">
        <f>MAX(0,D71*Inputs!$C$34)</f>
        <v>93239312</v>
      </c>
      <c r="E72" t="n" s="93">
        <f>MAX(0,E71*Inputs!$C$34)</f>
        <v>182994304</v>
      </c>
      <c r="F72" t="n" s="93">
        <f>MAX(0,F71*Inputs!$C$34)</f>
        <v>263039100</v>
      </c>
      <c r="G72" t="n" s="93">
        <f>MAX(0,G71*Inputs!$C$34)</f>
        <v>347338307</v>
      </c>
      <c r="H72" t="n" s="93">
        <f>MAX(0,H71*Inputs!$C$34)</f>
        <v>420491109.61332035</v>
      </c>
      <c r="I72" s="20"/>
    </row>
    <row r="73">
      <c r="A73" t="str" s="20">
        <v>순이익</v>
      </c>
      <c r="B73" t="str" s="20">
        <v>원</v>
      </c>
      <c r="C73" t="n" s="93">
        <f>C71-C72</f>
        <v>24097152</v>
      </c>
      <c r="D73" t="n" s="93">
        <f>D71-D72</f>
        <v>372957248</v>
      </c>
      <c r="E73" t="n" s="93">
        <f>E71-E72</f>
        <v>731977216</v>
      </c>
      <c r="F73" t="n" s="93">
        <f>F71-F72</f>
        <v>1052156400</v>
      </c>
      <c r="G73" t="n" s="93">
        <f>G71-G72</f>
        <v>1389353228</v>
      </c>
      <c r="H73" t="n" s="93">
        <f>H71-H72</f>
        <v>1681964438.4532812</v>
      </c>
      <c r="I73" s="20"/>
    </row>
    <row r="74">
      <c r="A74" t="str">
        <v>순이익률</v>
      </c>
      <c r="B74" t="str">
        <v>%</v>
      </c>
      <c r="C74" t="n" s="91">
        <f>IFERROR(C73/C68,0)</f>
        <v>0.0343208421467139</v>
      </c>
      <c r="D74" t="n" s="91">
        <f>IFERROR(D73/D68,0)</f>
        <v>0.22365959890082635</v>
      </c>
      <c r="E74" t="n" s="91">
        <f>IFERROR(E73/E68,0)</f>
        <v>0.2757011720888681</v>
      </c>
      <c r="F74" t="n" s="91">
        <f>IFERROR(F73/F68,0)</f>
        <v>0.285460603067974</v>
      </c>
      <c r="G74" t="n" s="91">
        <f>IFERROR(G73/G68,0)</f>
        <v>0.2918824411729728</v>
      </c>
      <c r="H74" t="n" s="91">
        <f>IFERROR(H73/H68,0)</f>
        <v>0.2518543819967257</v>
      </c>
      <c r="I74"/>
    </row>
    <row r="75">
      <c r="A75" t="str" s="94">
        <v>누적 순이익</v>
      </c>
      <c r="B75" t="str" s="94">
        <v>원</v>
      </c>
      <c r="C75" t="n" s="95">
        <f>C73</f>
        <v>24097152</v>
      </c>
      <c r="D75" t="n" s="95">
        <f>C75+D73</f>
        <v>397054400</v>
      </c>
      <c r="E75" t="n" s="95">
        <f>D75+E73</f>
        <v>1129031616</v>
      </c>
      <c r="F75" t="n" s="95">
        <f>E75+F73</f>
        <v>2181188016</v>
      </c>
      <c r="G75" t="n" s="95">
        <f>F75+G73</f>
        <v>3570541244</v>
      </c>
      <c r="H75" t="n" s="95">
        <f>G75+H73*5</f>
        <v>11980363436.266407</v>
      </c>
      <c r="I75" s="94"/>
    </row>
    <row r="76">
      <c r="A76" t="str" s="94">
        <v>연간 손익분기점 매출</v>
      </c>
      <c r="B76" t="str" s="94">
        <v>원</v>
      </c>
      <c r="C76" t="n" s="95">
        <f>IFERROR(C70/C55,0)</f>
        <v>645735985.6584045</v>
      </c>
      <c r="D76" t="n" s="95">
        <f>IFERROR(D70/D55,0)</f>
        <v>792765467.214141</v>
      </c>
      <c r="E76" t="n" s="95">
        <f>IFERROR(E70/E55,0)</f>
        <v>939260667.7532437</v>
      </c>
      <c r="F76" t="n" s="95">
        <f>IFERROR(F70/F55,0)</f>
        <v>1219498887.1833644</v>
      </c>
      <c r="G76" t="n" s="95">
        <f>IFERROR(G70/G55,0)</f>
        <v>1502270547.4607663</v>
      </c>
      <c r="H76" t="n" s="95">
        <f>IFERROR(H70/H55,0)</f>
        <v>2710763098.3796797</v>
      </c>
      <c r="I76" s="94"/>
    </row>
    <row r="77">
      <c r="A77" t="str">
        <v>손익분기점 도달연도</v>
      </c>
      <c r="B77" t="str">
        <v>FY</v>
      </c>
      <c r="C77"/>
      <c r="D77"/>
      <c r="E77"/>
      <c r="F77"/>
      <c r="G77"/>
      <c r="H77"/>
      <c r="I77" t="str">
        <f>IF(C75&gt;=0,"FY 1",IF(D75&gt;=0,"FY "&amp;TEXT(1+ABS(C75)/D73,"0.0"),IF(E75&gt;=0,"FY "&amp;TEXT(2+ABS(D75)/E73,"0.0"),IF(F75&gt;=0,"FY "&amp;TEXT(3+ABS(E75)/F73,"0.0"),IF(G75&gt;=0,"FY "&amp;TEXT(4+ABS(F75)/G73,"0.0"),IF(H75&gt;=0,"FY "&amp;TEXT(5+ABS(G75)/H73,"0.0"),"&gt; FY10"))))))</f>
        <v>FY 1</v>
      </c>
    </row>
    <row r="78">
      <c r="A78" s="20"/>
      <c r="B78" s="20"/>
      <c r="C78" s="20"/>
      <c r="D78" s="20"/>
      <c r="E78" s="20"/>
      <c r="F78" s="20"/>
      <c r="G78" s="20"/>
      <c r="H78" s="20"/>
      <c r="I78" s="20"/>
    </row>
    <row r="79">
      <c r="A79" s="20"/>
      <c r="B79" s="20"/>
      <c r="C79" s="20"/>
      <c r="D79" s="20"/>
      <c r="E79" s="20"/>
      <c r="F79" s="20"/>
      <c r="G79" s="20"/>
      <c r="H79" s="20"/>
      <c r="I79" s="20"/>
    </row>
    <row r="80">
      <c r="A80" s="20"/>
      <c r="B80" s="20"/>
      <c r="C80" s="20"/>
      <c r="D80" s="20"/>
      <c r="E80" s="20"/>
      <c r="F80" s="20"/>
      <c r="G80" s="20"/>
      <c r="H80" s="20"/>
      <c r="I80" s="20"/>
    </row>
  </sheetData>
  <mergeCells count="8">
    <mergeCell ref="A1:I1"/>
    <mergeCell ref="A2:I2"/>
    <mergeCell ref="A3:I3"/>
    <mergeCell ref="A6:I6"/>
    <mergeCell ref="A39:I39"/>
    <mergeCell ref="A48:I48"/>
    <mergeCell ref="A58:I58"/>
    <mergeCell ref="A67:I67"/>
  </mergeCells>
  <pageMargins left="0.7" right="0.7" top="0.75" bottom="0.75" header="0.3" footer="0.3"/>
</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" hidden="0" customWidth="1"/>
    <x:col min="4" max="4" width="1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20" t="str">
        <x:v>TESSERA 군 납품 모델 Dashboard</x:v>
      </x:c>
      <x:c r="B1" s="45"/>
      <x:c r="C1" s="45"/>
      <x:c r="D1" s="45"/>
      <x:c r="E1" s="45"/>
      <x:c r="F1" s="45"/>
      <x:c r="G1" s="45"/>
      <x:c r="H1" s="45"/>
    </x:row>
    <x:row r="2">
      <x:c r="A2" s="9" t="str">
        <x:v>MVP/초도 납품 이후 정규 확대 보급 시나리오 요약</x:v>
      </x:c>
    </x:row>
    <x:row r="4">
      <x:c r="A4" s="16" t="str">
        <x:v>KPI</x:v>
      </x:c>
      <x:c r="B4" s="16" t="str">
        <x:v>값</x:v>
      </x:c>
      <x:c r="D4" s="88" t="str">
        <x:v>FY</x:v>
      </x:c>
      <x:c r="E4" s="88" t="str">
        <x:v>총매출</x:v>
      </x:c>
      <x:c r="F4" s="88" t="str">
        <x:v>순이익</x:v>
      </x:c>
      <x:c r="G4" s="88" t="str">
        <x:v>누적 순이익</x:v>
      </x:c>
    </x:row>
    <x:row r="5">
      <x:c r="A5" s="80" t="str">
        <x:v>BEP 도달연도</x:v>
      </x:c>
      <x:c r="B5" s="116" t="str">
        <x:f>'Military Model'!I77</x:f>
        <x:v>FY 1</x:v>
      </x:c>
      <x:c r="D5" s="20" t="str">
        <x:v>FY 1</x:v>
      </x:c>
      <x:c r="E5" s="93" t="n">
        <x:f>'Military Model'!C45</x:f>
        <x:v>702114240</x:v>
      </x:c>
      <x:c r="F5" s="93" t="n">
        <x:f>'Military Model'!C73</x:f>
        <x:v>24097152</x:v>
      </x:c>
      <x:c r="G5" s="93" t="n">
        <x:f>'Military Model'!C75</x:f>
        <x:v>24097152</x:v>
      </x:c>
    </x:row>
    <x:row r="6">
      <x:c r="A6" s="80" t="str">
        <x:v>FY5 총매출</x:v>
      </x:c>
      <x:c r="B6" s="118" t="n">
        <x:f>'Military Model'!G45</x:f>
        <x:v>4759975360</x:v>
      </x:c>
      <x:c r="D6" s="20" t="str">
        <x:v>FY 2</x:v>
      </x:c>
      <x:c r="E6" s="93" t="n">
        <x:f>'Military Model'!D45</x:f>
        <x:v>1667521760</x:v>
      </x:c>
      <x:c r="F6" s="93" t="n">
        <x:f>'Military Model'!D73</x:f>
        <x:v>372957248</x:v>
      </x:c>
      <x:c r="G6" s="93" t="n">
        <x:f>'Military Model'!D75</x:f>
        <x:v>397054400</x:v>
      </x:c>
    </x:row>
    <x:row r="7">
      <x:c r="A7" s="80" t="str">
        <x:v>FY10 총매출</x:v>
      </x:c>
      <x:c r="B7" s="118" t="n">
        <x:f>'Military Model'!H45</x:f>
        <x:v>6678321120</x:v>
      </x:c>
      <x:c r="D7" s="20" t="str">
        <x:v>FY 3</x:v>
      </x:c>
      <x:c r="E7" s="93" t="n">
        <x:f>'Military Model'!E45</x:f>
        <x:v>2654965920</x:v>
      </x:c>
      <x:c r="F7" s="93" t="n">
        <x:f>'Military Model'!E73</x:f>
        <x:v>731977216</x:v>
      </x:c>
      <x:c r="G7" s="93" t="n">
        <x:f>'Military Model'!E75</x:f>
        <x:v>1129031616</x:v>
      </x:c>
    </x:row>
    <x:row r="8">
      <x:c r="A8" s="80" t="str">
        <x:v>FY5 순이익</x:v>
      </x:c>
      <x:c r="B8" s="118" t="n">
        <x:f>'Military Model'!G73</x:f>
        <x:v>1389353228</x:v>
      </x:c>
      <x:c r="D8" s="20" t="str">
        <x:v>FY 4</x:v>
      </x:c>
      <x:c r="E8" s="93" t="n">
        <x:f>'Military Model'!F45</x:f>
        <x:v>3685820000</x:v>
      </x:c>
      <x:c r="F8" s="93" t="n">
        <x:f>'Military Model'!F73</x:f>
        <x:v>1052156400</x:v>
      </x:c>
      <x:c r="G8" s="93" t="n">
        <x:f>'Military Model'!F75</x:f>
        <x:v>2181188016</x:v>
      </x:c>
    </x:row>
    <x:row r="9">
      <x:c r="A9" s="80" t="str">
        <x:v>FY10 순이익</x:v>
      </x:c>
      <x:c r="B9" s="118" t="n">
        <x:f>'Military Model'!H73</x:f>
        <x:v>1681964438.4532812</x:v>
      </x:c>
      <x:c r="D9" s="20" t="str">
        <x:v>FY 5</x:v>
      </x:c>
      <x:c r="E9" s="93" t="n">
        <x:f>'Military Model'!G45</x:f>
        <x:v>4759975360</x:v>
      </x:c>
      <x:c r="F9" s="93" t="n">
        <x:f>'Military Model'!G73</x:f>
        <x:v>1389353228</x:v>
      </x:c>
      <x:c r="G9" s="93" t="n">
        <x:f>'Military Model'!G75</x:f>
        <x:v>3570541244</x:v>
      </x:c>
    </x:row>
    <x:row r="10">
      <x:c r="A10" s="80" t="str">
        <x:v>FY10 누적 순이익</x:v>
      </x:c>
      <x:c r="B10" s="118" t="n">
        <x:f>'Military Model'!H75</x:f>
        <x:v>11980363436.266407</x:v>
      </x:c>
      <x:c r="D10" s="20" t="str">
        <x:v>FY 10</x:v>
      </x:c>
      <x:c r="E10" s="93" t="n">
        <x:f>'Military Model'!H45</x:f>
        <x:v>6678321120</x:v>
      </x:c>
      <x:c r="F10" s="93" t="n">
        <x:f>'Military Model'!H73</x:f>
        <x:v>1681964438.4532812</x:v>
      </x:c>
      <x:c r="G10" s="93" t="n">
        <x:f>'Military Model'!H75</x:f>
        <x:v>11980363436.266407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18c5d3cca2f4f28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70" hidden="0" customWidth="1"/>
    <x:col min="4" max="4" width="50" hidden="0" customWidth="1"/>
  </x:cols>
  <x:sheetData>
    <x:row r="1">
      <x:c r="A1" s="122" t="str">
        <x:v>Sources &amp; Model Notes</x:v>
      </x:c>
      <x:c r="B1" s="123"/>
      <x:c r="C1" s="123"/>
      <x:c r="D1" s="123"/>
    </x:row>
    <x:row r="3">
      <x:c r="A3" s="16" t="str">
        <x:v>입력 항목</x:v>
      </x:c>
      <x:c r="B3" s="16" t="str">
        <x:v>모델 가정</x:v>
      </x:c>
      <x:c r="C3" s="16" t="str">
        <x:v>출처/근거 URL</x:v>
      </x:c>
      <x:c r="D3" s="16" t="str">
        <x:v>비고</x:v>
      </x:c>
    </x:row>
    <x:row r="4">
      <x:c r="A4" s="20" t="str">
        <x:v>현재 복무 인원</x:v>
      </x:c>
      <x:c r="B4" s="20" t="str">
        <x:v>450,000명</x:v>
      </x:c>
      <x:c r="C4" s="20" t="str">
        <x:v>https://www.chosun.com/politics/diplomacy-defense/2025/08/11/R4HLSILEVRDHDA6DBYUAG53OMU/</x:v>
      </x:c>
      <x:c r="D4" s="20" t="str">
        <x:v>최근 보도 기반의 방어적 가정. 정확한 편제/시점은 변동 가능</x:v>
      </x:c>
    </x:row>
    <x:row r="5">
      <x:c r="A5" s="20" t="str">
        <x:v>연간 신규 입영자</x:v>
      </x:c>
      <x:c r="B5" s="20" t="str">
        <x:v>180,000명</x:v>
      </x:c>
      <x:c r="C5" s="20" t="str">
        <x:v>https://www.index.go.kr/unity/potal/main/EachDtlPageDetail.do?idx_cd=2757</x:v>
      </x:c>
      <x:c r="D5" s="20" t="str">
        <x:v>현역병 입영현황 지표 기반. 모델에서는 사용자가 조정 가능</x:v>
      </x:c>
    </x:row>
    <x:row r="6">
      <x:c r="A6" s="20" t="str">
        <x:v>현역병 입영 통계</x:v>
      </x:c>
      <x:c r="B6" s="20" t="str">
        <x:v>KOSIS 1998~2024</x:v>
      </x:c>
      <x:c r="C6" s="20" t="str">
        <x:v>https://kosis.kr/statHtml/statHtml.do?orgId=144&amp;tblId=TX_14401_A057</x:v>
      </x:c>
      <x:c r="D6" s="20" t="str">
        <x:v>자료갱신일 2025-07-31로 표시</x:v>
      </x:c>
    </x:row>
    <x:row r="7">
      <x:c r="A7" s="20" t="str">
        <x:v>NFC 인식표 판매가</x:v>
      </x:c>
      <x:c r="B7" s="20" t="str">
        <x:v>3,000원/개</x:v>
      </x:c>
      <x:c r="C7" s="20" t="str">
        <x:v>사용자 제공</x:v>
      </x:c>
      <x:c r="D7" s="20" t="str">
        <x:v>가격은 판매가이며 원가는 별도 가정</x:v>
      </x:c>
    </x:row>
    <x:row r="8">
      <x:c r="A8" s="20" t="str">
        <x:v>NFC 인식기 판매가</x:v>
      </x:c>
      <x:c r="B8" s="20" t="str">
        <x:v>50,000원/대</x:v>
      </x:c>
      <x:c r="C8" s="20" t="str">
        <x:v>사용자 제공</x:v>
      </x:c>
      <x:c r="D8" s="20" t="str">
        <x:v>가격은 판매가이며 원가는 별도 가정</x:v>
      </x:c>
    </x:row>
    <x:row r="9">
      <x:c r="A9" s="20" t="str">
        <x:v>SaaS / 보안 프로그램 라이선스</x:v>
      </x:c>
      <x:c r="B9" s="20" t="str">
        <x:v>SaaS 100,000원/인식기/년 + 보안 280,000원/인식기/년</x:v>
      </x:c>
      <x:c r="C9" s="20" t="str">
        <x:v>벤치마크 참고: Hexnode, Esper, CrowdStrike</x:v>
      </x:c>
      <x:c r="D9" s="20" t="str">
        <x:v>공개 가격표 및 원/달러 1,500원 내외 환산 기준. 합산 38만원/인식기/년으로 모델링</x:v>
      </x:c>
    </x:row>
    <x:row r="10">
      <x:c r="A10" t="str">
        <x:v>Hexnode UEM</x:v>
      </x:c>
      <x:c r="B10" t="str">
        <x:v>$2.2~$4.7 / device / month</x:v>
      </x:c>
      <x:c r="C10" t="str">
        <x:v>https://www.hexnode.com/pricing/uem/</x:v>
      </x:c>
      <x:c r="D10" t="str">
        <x:v>기기관리 SaaS 벤치마크</x:v>
      </x:c>
    </x:row>
    <x:row r="11">
      <x:c r="A11" t="str">
        <x:v>Esper Device Management</x:v>
      </x:c>
      <x:c r="B11" t="str">
        <x:v>$2~$6 / device / month</x:v>
      </x:c>
      <x:c r="C11" t="str">
        <x:v>https://www.esper.io/pricing</x:v>
      </x:c>
      <x:c r="D11" t="str">
        <x:v>기기관리 SaaS 벤치마크</x:v>
      </x:c>
    </x:row>
    <x:row r="12">
      <x:c r="A12" t="str">
        <x:v>CrowdStrike Falcon</x:v>
      </x:c>
      <x:c r="B12" t="str">
        <x:v>$99.99~$184.99 / device / year, 월 과금 $14.99~$19.99/대</x:v>
      </x:c>
      <x:c r="C12" t="str">
        <x:v>https://www.crowdstrike.com/en-us/pricing/</x:v>
      </x:c>
      <x:c r="D12" t="str">
        <x:v>EDR 포함 보안 프로그램 벤치마크</x:v>
      </x:c>
    </x:row>
    <x:row r="13">
      <x:c r="A13" t="str">
        <x:v>병사/간부 인원 배분</x:v>
      </x:c>
      <x:c r="B13" t="str">
        <x:v>병사 270,000명 / 장교 70,000명 / 부사관 110,000명</x:v>
      </x:c>
      <x:c r="C13" t="str">
        <x:v>사업계획용 assumption</x:v>
      </x:c>
      <x:c r="D13" t="str">
        <x:v>총 450,000명 중 사용자가 제시한 병사 약 270,000명을 고정하고 잔여 180,000명을 장교/부사관으로 배분</x:v>
      </x:c>
    </x:row>
    <x:row r="14">
      <x:c r="A14" t="str">
        <x:v>병사 복무기간</x:v>
      </x:c>
      <x:c r="B14" t="str">
        <x:v>1.5년</x:v>
      </x:c>
      <x:c r="C14" t="str">
        <x:v>병역 복무기간 공개자료</x:v>
      </x:c>
      <x:c r="D14" t="str">
        <x:v>육군/해병대 18개월 중심의 단순 모델 가정</x:v>
      </x:c>
    </x:row>
    <x:row r="15">
      <x:c r="A15" t="str">
        <x:v>장교/부사관 평균 재직기간</x:v>
      </x:c>
      <x:c r="B15" t="str">
        <x:v>장교 10년 / 부사관 12년</x:v>
      </x:c>
      <x:c r="C15" t="str">
        <x:v>사업계획용 assumption</x:v>
      </x:c>
      <x:c r="D15" t="str">
        <x:v>정확한 평균 재직기간 공개자료가 제한적이므로 초급 간부 이탈과 장기복무 비중을 함께 반영한 보수적 평균</x:v>
      </x:c>
    </x:row>
    <x:row r="16">
      <x:c r="A16" t="str">
        <x:v>로직 보정</x:v>
      </x:c>
      <x:c r="B16" t="str">
        <x:v>기존 장병 전환 제거, 신규 유입/교체 중심</x:v>
      </x:c>
      <x:c r="C16" t="str">
        <x:v>사용자 요청</x:v>
      </x:c>
      <x:c r="D16" t="str">
        <x:v>기존 장병 누적 전환율 및 기존 장병 신규 전환 수량 제거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6e8a88659f7468c"/>
  </x:tableParts>
</x:worksheet>
</file>